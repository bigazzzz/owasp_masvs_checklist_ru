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4.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7.xml" ContentType="application/vnd.openxmlformats-officedocument.drawingml.chart+xml"/>
  <Override PartName="/xl/charts/chart8.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<sst xmlns="http://schemas.openxmlformats.org/spreadsheetml/2006/main" count="995" uniqueCount="371">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</sst>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20604495"/>
        <c:axId val="78361298"/>
      </c:radarChart>
      <c:catAx>
        <c:axId val="20604495"/>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78361298"/>
        <c:crosses val="autoZero"/>
        <c:auto val="1"/>
        <c:lblAlgn val="ctr"/>
        <c:lblOffset val="100"/>
        <c:noMultiLvlLbl val="0"/>
      </c:catAx>
      <c:valAx>
        <c:axId val="78361298"/>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20604495"/>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28333765"/>
        <c:axId val="39605995"/>
      </c:radarChart>
      <c:catAx>
        <c:axId val="28333765"/>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39605995"/>
        <c:crosses val="autoZero"/>
        <c:auto val="1"/>
        <c:lblAlgn val="ctr"/>
        <c:lblOffset val="100"/>
        <c:noMultiLvlLbl val="0"/>
      </c:catAx>
      <c:valAx>
        <c:axId val="39605995"/>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28333765"/>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4.png"/>
</Relationships>
</file>

<file path=xl/drawings/_rels/drawing2.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G7" colorId="64" zoomScale="75" zoomScaleNormal="75" zoomScalePageLayoutView="100" workbookViewId="0">
      <selection pane="topLeft" activeCell="J37" activeCellId="0" sqref="J37"/>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даннх на локальном хранилище (MSTG-STORAGE-1 and MSTG-STORAGE-2)")</f>
        <v>Проверка наличия конфиденциальных даннх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HYPERLINK(CONCATENATE(BASE_URL,"0x04e-Testing-Authentication-and-Session-Management.md#testing-stateless-token-based-authentication-mstg-auth-3"),"Testing Stateless (Token-Based) Authentication (MSTG-AUTH-3)")</f>
        <v>Testing Stateless (Token-Based) Authentication (MSTG-AUTH-3)</v>
      </c>
      <c r="I38" s="75" t="str">
        <f aca="false">HYPERLINK(CONCATENATE(BASE_URL,"0x04e-Testing-Authentication-and-Session-Management.md#testing-oauth-20-flows-mstg-auth-1-and-mstg-auth-3"),"Testing OAuth 2.0 Flows (MSTG-AUTH-1 and MSTG-AUTH-3)")</f>
        <v>Testing OAuth 2.0 Flows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75" t="str">
        <f aca="false">HYPERLINK(CONCATENATE(BASE_URL,"0x04e-Testing-Authentication-and-Session-Management.md#dynamic-testing-mstg-auth-6"),"Dynamic Testing (MSTG-AUTH-6)")</f>
        <v>Dynamic Testing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HYPERLINK(CONCATENATE(BASE_URL,"0x05f-Testing-Local-Authentication.md#testing-biometric-authentication-mstg-auth-8"),"Testing Biometric Authentication (MSTG-AUTH-8)")</f>
        <v>Testing Biometric Authentication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HYPERLINK(CONCATENATE(BASE_URL,"0x05g-Testing-Network-Communication.md#testing-endpoint-identify-verification-mstg-network-3"),"Testing Endpoint Identify Verification (MSTG-NETWORK-3)")</f>
        <v>Testing Endpoint Identify Verification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HYPERLINK(CONCATENATE(BASE_URL,"0x05g-Testing-Network-Communication.md#testing-custom-certificate-stores-and-certificate-pinning-mstg-network-4"),"Testing Custom Certificate Stores and Certificate Pinning (MSTG-NETWORK-4)")</f>
        <v>Testing Custom Certificate Stores and Certificate Pinning (MSTG-NETWORK-4)</v>
      </c>
      <c r="I51" s="90" t="str">
        <f aca="false">HYPERLINK(CONCATENATE(BASE_URL,"0x05g-Testing-Network-Communication.md#testing-the-network-security-configuration-settings-mstg-network-4"),"Testing the Network Security Configuration Settings (MSTG-NETWORK-4)")</f>
        <v>Testing the Network Security Configuration Settings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HYPERLINK(CONCATENATE(BASE_URL,"0x05g-Testing-Network-Communication.md#testing-the-security-provider-mstg-network-6"),"Testing the Security Provider (MSTG-NETWORK-6)")</f>
        <v>Testing the Security Provider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HYPERLINK(CONCATENATE(BASE_URL,"0x05h-Testing-Platform-Interaction.md#testing-app-permissions-mstg-platform-1"),"Testing App Permissions (MSTG-PLATFORM-1)")</f>
        <v>Testing App Permissions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HYPERLINK(CONCATENATE(BASE_URL,"0x04h-Testing-Code-Quality.md#testing-for-injection-flaws-mstg-platform-2"),"Testing for Injection Flaws (MSTG-PLATFORM-2)")</f>
        <v>Testing for Injection Flaws (MSTG-PLATFORM-2)</v>
      </c>
      <c r="I56" s="90" t="str">
        <f aca="false">HYPERLINK(CONCATENATE(BASE_URL,"0x04h-Testing-Code-Quality.md#testing-for-fragment-injection-mstg-platform-2"),"Testing for Fragment Injection (MSTG-PLATFORM-2)")</f>
        <v>Testing for Fragment Injection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HYPERLINK(CONCATENATE(BASE_URL,"0x05h-Testing-Platform-Interaction.md#testing-javascript-execution-in-webviews-mstg-platform-5"),"Testing JavaScript Execution in WebViews (MSTG-PLATFORM-5)")</f>
        <v>Testing JavaScript Execution in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HYPERLINK(CONCATENATE(BASE_URL,"0x05h-Testing-Platform-Interaction.md#testing-webview-protocol-handlers-mstg-platform-6"),"Testing WebView Protocol Handlers (MSTG-PLATFORM-6)")</f>
        <v>Testing WebView Protocol Handlers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HYPERLINK(CONCATENATE(BASE_URL,"0x05h-Testing-Platform-Interaction.md#determining-whether-java-objects-are-exposed-through-webviews-mstg-platform-7"),"Determining Whether Java Objects Are Exposed Through WebViews (MSTG-PLATFORM-7)")</f>
        <v>Determining Whether Java Objects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HYPERLINK(CONCATENATE(BASE_URL,"0x05i-Testing-Code-Quality-and-Build-Settings.md#making-sure-that-the-app-is-properly-signed-mstg-code-1"),"Making Sure That the App is Properly Signed (MSTG-CODE-1)")</f>
        <v>Making Sure That the App is Properly Signed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HYPERLINK(CONCATENATE(BASE_URL,"0x05i-Testing-Code-Quality-and-Build-Settings.md#testing-whether-the-app-is-debuggable-mstg-code-2"),"Testing Whether the App is Debuggable (MSTG-CODE-2)")</f>
        <v>Testing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HYPERLINK(CONCATENATE(BASE_URL,"0x05i-Testing-Code-Quality-and-Build-Settings.md#testing-for-debugging-symbols-mstg-code-3"),"Testing for Debugging Symbols (MSTG-CODE-3)")</f>
        <v>Testing for Debugging Symbols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HYPERLINK(CONCATENATE(BASE_URL,"0x05i-Testing-Code-Quality-and-Build-Settings.md#testing-for-debugging-code-and-verbose-error-logging-mstg-code-4"),"Testing for Debugging Code and Verbose Error Logging (MSTG-CODE-4)")</f>
        <v>Testing for Debugging Code and Verbose Error Logging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HYPERLINK(CONCATENATE(BASE_URL,"0x05i-Testing-Code-Quality-and-Build-Settings.md#testing-exception-handling-mstg-code-6-and-mstg-code-7"),"Testing Exception Handling (MSTG-CODE-6 and MSTG-CODE-7)")</f>
        <v>Testing Exception Handling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HYPERLINK(CONCATENATE(BASE_URL,"0x05i-Testing-Code-Quality-and-Build-Settings.md#testing-exception-handling-mstg-code-6-and-mstg-code-7"),"Testing Exception Handling (MSTG-CODE-6 and MSTG-CODE-7)")</f>
        <v>Testing Exception Handling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HYPERLINK(CONCATENATE(BASE_URL,"0x04h-Testing-Code-Quality.md#memory-corruption-bugs-mstg-code-8"),"Memory Corruption Bugs (MSTG-CODE-8)")</f>
        <v>Memory Corruption Bugs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6"/>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135"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135"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135"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135"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135"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137"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135"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135"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135"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135"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135"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8"/>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135"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135"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135"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35"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9"/>
      <c r="K36" s="125"/>
    </row>
    <row r="37" customFormat="false" ht="24.85" hidden="false" customHeight="false" outlineLevel="0" collapsed="false">
      <c r="B37" s="87" t="s">
        <v>156</v>
      </c>
      <c r="C37" s="88" t="s">
        <v>157</v>
      </c>
      <c r="D37" s="96" t="s">
        <v>158</v>
      </c>
      <c r="E37" s="68" t="s">
        <v>64</v>
      </c>
      <c r="F37" s="69" t="s">
        <v>64</v>
      </c>
      <c r="G37" s="70"/>
      <c r="H37" s="135"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135"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9"/>
      <c r="K38" s="125"/>
    </row>
    <row r="39" customFormat="false" ht="15" hidden="false" customHeight="false" outlineLevel="0" collapsed="false">
      <c r="B39" s="87" t="s">
        <v>162</v>
      </c>
      <c r="C39" s="88" t="s">
        <v>163</v>
      </c>
      <c r="D39" s="96" t="s">
        <v>164</v>
      </c>
      <c r="E39" s="68"/>
      <c r="F39" s="69"/>
      <c r="G39" s="70"/>
      <c r="H39" s="135"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9"/>
      <c r="K41" s="125"/>
    </row>
    <row r="42" customFormat="false" ht="24.85" hidden="false" customHeight="false" outlineLevel="0" collapsed="false">
      <c r="B42" s="87" t="s">
        <v>171</v>
      </c>
      <c r="C42" s="88" t="s">
        <v>172</v>
      </c>
      <c r="D42" s="96" t="s">
        <v>173</v>
      </c>
      <c r="E42" s="68" t="s">
        <v>64</v>
      </c>
      <c r="F42" s="69" t="s">
        <v>64</v>
      </c>
      <c r="G42" s="70"/>
      <c r="H42" s="135" t="str">
        <f aca="false">HYPERLINK(CONCATENATE(BASE_URL,"0x04e-Testing-Authentication-and-Session-Management.md#testing-session-timeout-mstg-auth-7"),"Testing Session Timeout (MSTG-AUTH-7)")</f>
        <v>Testing Session Timeout (MSTG-AUTH-7)</v>
      </c>
      <c r="I42" s="97"/>
      <c r="J42" s="140"/>
      <c r="K42" s="99"/>
    </row>
    <row r="43" customFormat="false" ht="15" hidden="false" customHeight="false" outlineLevel="0" collapsed="false">
      <c r="B43" s="87" t="s">
        <v>174</v>
      </c>
      <c r="C43" s="88" t="s">
        <v>175</v>
      </c>
      <c r="D43" s="96" t="s">
        <v>176</v>
      </c>
      <c r="E43" s="93"/>
      <c r="F43" s="69" t="s">
        <v>64</v>
      </c>
      <c r="G43" s="70" t="s">
        <v>77</v>
      </c>
      <c r="H43" s="135" t="str">
        <f aca="false">HYPERLINK(CONCATENATE(BASE_URL,"0x06f-Testing-Local-Authentication.md#testing-local-authentication-mstg-auth-8-and-mstg-storage-11"),"Testing Local Authentication (MSTG-AUTH-8 and MSTG-STORAGE-11)")</f>
        <v>Testing Local Authentication (MSTG-AUTH-8 and MSTG-STORAGE-11)</v>
      </c>
      <c r="I43" s="90"/>
      <c r="J43" s="139"/>
      <c r="K43" s="125"/>
    </row>
    <row r="44" customFormat="false" ht="15" hidden="false" customHeight="false" outlineLevel="0" collapsed="false">
      <c r="B44" s="87" t="s">
        <v>177</v>
      </c>
      <c r="C44" s="88" t="s">
        <v>178</v>
      </c>
      <c r="D44" s="96" t="s">
        <v>179</v>
      </c>
      <c r="E44" s="93"/>
      <c r="F44" s="69" t="s">
        <v>64</v>
      </c>
      <c r="G44" s="70" t="s">
        <v>77</v>
      </c>
      <c r="H44"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00"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37"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135"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135"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135"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135"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135"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135"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135"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135"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135"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135"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135"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135"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00"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135"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135"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135"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135"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1"/>
      <c r="K73" s="142"/>
    </row>
    <row r="74" customFormat="false" ht="15.6" hidden="false" customHeight="false" outlineLevel="0" collapsed="false">
      <c r="B74" s="143"/>
      <c r="C74" s="143"/>
      <c r="D74" s="92"/>
      <c r="E74" s="114"/>
      <c r="F74" s="114"/>
      <c r="G74" s="114"/>
      <c r="H74" s="114"/>
      <c r="I74" s="114"/>
      <c r="J74" s="114"/>
      <c r="K74" s="92"/>
    </row>
    <row r="75" customFormat="false" ht="15.6" hidden="false" customHeight="false" outlineLevel="0" collapsed="false">
      <c r="B75" s="143"/>
      <c r="C75" s="143"/>
      <c r="D75" s="92"/>
      <c r="E75" s="114"/>
      <c r="F75" s="114"/>
      <c r="G75" s="114"/>
      <c r="H75" s="114"/>
      <c r="I75" s="114"/>
      <c r="J75" s="114"/>
      <c r="K75" s="92"/>
    </row>
    <row r="76" customFormat="false" ht="15.6" hidden="false" customHeight="false" outlineLevel="0" collapsed="false">
      <c r="B76" s="143"/>
      <c r="C76" s="143"/>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3"/>
      <c r="C82" s="143"/>
      <c r="D82" s="92"/>
      <c r="E82" s="114"/>
      <c r="F82" s="114"/>
      <c r="G82" s="114"/>
      <c r="H82" s="114"/>
      <c r="I82" s="114"/>
      <c r="J82" s="114"/>
      <c r="K82" s="92"/>
    </row>
    <row r="83" customFormat="false" ht="15.6" hidden="false" customHeight="false" outlineLevel="0" collapsed="false">
      <c r="B83" s="143"/>
      <c r="C83" s="143"/>
      <c r="D83" s="92"/>
      <c r="E83" s="114"/>
      <c r="F83" s="114"/>
      <c r="G83" s="114"/>
      <c r="H83" s="114"/>
      <c r="I83" s="114"/>
      <c r="J83" s="114"/>
      <c r="K83" s="92"/>
    </row>
    <row r="84" customFormat="false" ht="15.6" hidden="false" customHeight="false" outlineLevel="0" collapsed="false">
      <c r="B84" s="143"/>
      <c r="C84" s="143"/>
      <c r="D84" s="92"/>
      <c r="E84" s="114"/>
      <c r="F84" s="114"/>
      <c r="G84" s="114"/>
      <c r="H84" s="114"/>
      <c r="I84" s="114"/>
      <c r="J84" s="114"/>
      <c r="K84" s="92"/>
    </row>
    <row r="85" customFormat="false" ht="15.6" hidden="false" customHeight="false" outlineLevel="0" collapsed="false">
      <c r="B85" s="143"/>
      <c r="C85" s="143"/>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4" t="s">
        <v>301</v>
      </c>
      <c r="H8" s="125"/>
    </row>
    <row r="9" customFormat="false" ht="15" hidden="false" customHeight="false" outlineLevel="0" collapsed="false">
      <c r="B9" s="65" t="s">
        <v>288</v>
      </c>
      <c r="C9" s="66" t="s">
        <v>289</v>
      </c>
      <c r="D9" s="92" t="s">
        <v>290</v>
      </c>
      <c r="E9" s="123" t="s">
        <v>64</v>
      </c>
      <c r="F9" s="70" t="s">
        <v>77</v>
      </c>
      <c r="G9" s="144" t="s">
        <v>301</v>
      </c>
      <c r="H9" s="125"/>
    </row>
    <row r="10" customFormat="false" ht="15" hidden="false" customHeight="false" outlineLevel="0" collapsed="false">
      <c r="B10" s="65" t="s">
        <v>291</v>
      </c>
      <c r="C10" s="66" t="s">
        <v>292</v>
      </c>
      <c r="D10" s="92" t="s">
        <v>293</v>
      </c>
      <c r="E10" s="123" t="s">
        <v>64</v>
      </c>
      <c r="F10" s="70" t="s">
        <v>77</v>
      </c>
      <c r="G10" s="144"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4"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5"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3"/>
      <c r="C20" s="143"/>
      <c r="D20" s="92"/>
      <c r="E20" s="114"/>
      <c r="F20" s="114"/>
      <c r="G20" s="114"/>
      <c r="H20" s="92"/>
    </row>
    <row r="21" customFormat="false" ht="15.6" hidden="false" customHeight="false" outlineLevel="0" collapsed="false">
      <c r="B21" s="143"/>
      <c r="C21" s="143"/>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3"/>
      <c r="C27" s="143"/>
      <c r="D27" s="92"/>
      <c r="E27" s="114"/>
      <c r="F27" s="114"/>
      <c r="G27" s="114"/>
      <c r="H27" s="92"/>
    </row>
    <row r="28" customFormat="false" ht="15.6" hidden="false" customHeight="false" outlineLevel="0" collapsed="false">
      <c r="B28" s="143"/>
      <c r="C28" s="143"/>
      <c r="D28" s="92"/>
      <c r="E28" s="114"/>
      <c r="F28" s="114"/>
      <c r="G28" s="114"/>
      <c r="H28" s="92"/>
    </row>
    <row r="29" customFormat="false" ht="15.6" hidden="false" customHeight="false" outlineLevel="0" collapsed="false">
      <c r="B29" s="143"/>
      <c r="C29" s="143"/>
      <c r="D29" s="92"/>
      <c r="E29" s="114"/>
      <c r="F29" s="114"/>
      <c r="G29" s="114"/>
      <c r="H29" s="92"/>
    </row>
    <row r="30" customFormat="false" ht="15.6" hidden="false" customHeight="false" outlineLevel="0" collapsed="false">
      <c r="B30" s="143"/>
      <c r="C30" s="143"/>
      <c r="D30" s="92"/>
      <c r="E30" s="114"/>
      <c r="F30" s="114"/>
    </row>
    <row r="31" customFormat="false" ht="15.6" hidden="false" customHeight="false" outlineLevel="0" collapsed="false">
      <c r="B31" s="143"/>
      <c r="C31" s="143"/>
      <c r="D31" s="92"/>
      <c r="E31" s="114"/>
      <c r="F31" s="114"/>
    </row>
    <row r="32" customFormat="false" ht="15.6" hidden="false" customHeight="false" outlineLevel="0" collapsed="false">
      <c r="B32" s="143"/>
      <c r="C32" s="143"/>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6" t="s">
        <v>318</v>
      </c>
      <c r="B1" s="146"/>
      <c r="C1" s="147"/>
      <c r="D1" s="52"/>
      <c r="E1" s="52"/>
    </row>
    <row r="2" customFormat="false" ht="15.6" hidden="false" customHeight="false" outlineLevel="0" collapsed="false">
      <c r="A2" s="148" t="s">
        <v>319</v>
      </c>
      <c r="B2" s="148" t="s">
        <v>320</v>
      </c>
      <c r="C2" s="148" t="s">
        <v>321</v>
      </c>
      <c r="D2" s="148" t="s">
        <v>322</v>
      </c>
      <c r="E2" s="148" t="s">
        <v>274</v>
      </c>
    </row>
    <row r="3" customFormat="false" ht="15.6" hidden="false" customHeight="false" outlineLevel="0" collapsed="false">
      <c r="A3" s="149" t="s">
        <v>323</v>
      </c>
      <c r="B3" s="150" t="n">
        <v>0.1</v>
      </c>
      <c r="C3" s="150"/>
      <c r="D3" s="151" t="n">
        <v>42765</v>
      </c>
      <c r="E3" s="152" t="s">
        <v>324</v>
      </c>
    </row>
    <row r="4" customFormat="false" ht="15.6" hidden="false" customHeight="false" outlineLevel="0" collapsed="false">
      <c r="A4" s="152" t="s">
        <v>325</v>
      </c>
      <c r="B4" s="150" t="n">
        <v>0.2</v>
      </c>
      <c r="C4" s="150"/>
      <c r="D4" s="151" t="n">
        <v>42766</v>
      </c>
      <c r="E4" s="152" t="s">
        <v>326</v>
      </c>
    </row>
    <row r="5" customFormat="false" ht="15.6" hidden="false" customHeight="false" outlineLevel="0" collapsed="false">
      <c r="A5" s="152" t="s">
        <v>327</v>
      </c>
      <c r="B5" s="150" t="n">
        <v>0.3</v>
      </c>
      <c r="C5" s="150"/>
      <c r="D5" s="151" t="n">
        <v>42778</v>
      </c>
      <c r="E5" s="152" t="s">
        <v>328</v>
      </c>
    </row>
    <row r="6" customFormat="false" ht="15.6" hidden="false" customHeight="false" outlineLevel="0" collapsed="false">
      <c r="A6" s="152" t="s">
        <v>329</v>
      </c>
      <c r="B6" s="150" t="s">
        <v>330</v>
      </c>
      <c r="C6" s="150"/>
      <c r="D6" s="151" t="n">
        <v>42780</v>
      </c>
      <c r="E6" s="152" t="s">
        <v>331</v>
      </c>
    </row>
    <row r="7" customFormat="false" ht="15.6" hidden="false" customHeight="false" outlineLevel="0" collapsed="false">
      <c r="A7" s="152" t="s">
        <v>325</v>
      </c>
      <c r="B7" s="153" t="s">
        <v>332</v>
      </c>
      <c r="C7" s="153"/>
      <c r="D7" s="151" t="n">
        <v>42781</v>
      </c>
      <c r="E7" s="152" t="s">
        <v>333</v>
      </c>
    </row>
    <row r="8" customFormat="false" ht="15.6" hidden="false" customHeight="false" outlineLevel="0" collapsed="false">
      <c r="A8" s="152" t="s">
        <v>329</v>
      </c>
      <c r="B8" s="153" t="s">
        <v>334</v>
      </c>
      <c r="C8" s="153"/>
      <c r="D8" s="151" t="n">
        <v>42829</v>
      </c>
      <c r="E8" s="152" t="s">
        <v>335</v>
      </c>
    </row>
    <row r="9" customFormat="false" ht="15.6" hidden="false" customHeight="false" outlineLevel="0" collapsed="false">
      <c r="A9" s="152" t="s">
        <v>325</v>
      </c>
      <c r="B9" s="153" t="s">
        <v>334</v>
      </c>
      <c r="C9" s="153"/>
      <c r="D9" s="151" t="n">
        <v>42919</v>
      </c>
      <c r="E9" s="152" t="s">
        <v>336</v>
      </c>
    </row>
    <row r="10" customFormat="false" ht="15.6" hidden="false" customHeight="false" outlineLevel="0" collapsed="false">
      <c r="A10" s="152" t="s">
        <v>325</v>
      </c>
      <c r="B10" s="153" t="s">
        <v>337</v>
      </c>
      <c r="C10" s="153"/>
      <c r="D10" s="151" t="n">
        <v>42963</v>
      </c>
      <c r="E10" s="152" t="s">
        <v>338</v>
      </c>
    </row>
    <row r="11" customFormat="false" ht="15.6" hidden="false" customHeight="false" outlineLevel="0" collapsed="false">
      <c r="A11" s="152" t="s">
        <v>325</v>
      </c>
      <c r="B11" s="153" t="s">
        <v>339</v>
      </c>
      <c r="C11" s="153"/>
      <c r="D11" s="151" t="n">
        <v>43113</v>
      </c>
      <c r="E11" s="152" t="s">
        <v>340</v>
      </c>
    </row>
    <row r="12" customFormat="false" ht="15.6" hidden="false" customHeight="false" outlineLevel="0" collapsed="false">
      <c r="A12" s="152" t="s">
        <v>325</v>
      </c>
      <c r="B12" s="153" t="n">
        <v>1.1</v>
      </c>
      <c r="C12" s="153"/>
      <c r="D12" s="151" t="n">
        <v>43289</v>
      </c>
      <c r="E12" s="152" t="s">
        <v>341</v>
      </c>
    </row>
    <row r="13" customFormat="false" ht="15.6" hidden="false" customHeight="false" outlineLevel="0" collapsed="false">
      <c r="A13" s="152" t="s">
        <v>342</v>
      </c>
      <c r="B13" s="154" t="s">
        <v>343</v>
      </c>
      <c r="C13" s="155"/>
      <c r="D13" s="151" t="n">
        <v>43464</v>
      </c>
      <c r="E13" s="156" t="s">
        <v>344</v>
      </c>
    </row>
    <row r="14" customFormat="false" ht="15.6" hidden="false" customHeight="false" outlineLevel="0" collapsed="false">
      <c r="A14" s="152" t="s">
        <v>345</v>
      </c>
      <c r="B14" s="154" t="s">
        <v>346</v>
      </c>
      <c r="C14" s="155"/>
      <c r="D14" s="151" t="n">
        <v>43469</v>
      </c>
      <c r="E14" s="156" t="s">
        <v>344</v>
      </c>
    </row>
    <row r="15" customFormat="false" ht="409.05" hidden="false" customHeight="true" outlineLevel="0" collapsed="false">
      <c r="A15" s="157" t="s">
        <v>347</v>
      </c>
      <c r="B15" s="153" t="s">
        <v>348</v>
      </c>
      <c r="C15" s="153" t="s">
        <v>349</v>
      </c>
      <c r="D15" s="151" t="n">
        <v>43471</v>
      </c>
      <c r="E15" s="158" t="s">
        <v>350</v>
      </c>
    </row>
    <row r="16" customFormat="false" ht="15.6" hidden="false" customHeight="false" outlineLevel="0" collapsed="false">
      <c r="A16" s="152" t="s">
        <v>342</v>
      </c>
      <c r="B16" s="154" t="s">
        <v>351</v>
      </c>
      <c r="C16" s="153" t="s">
        <v>349</v>
      </c>
      <c r="D16" s="159" t="n">
        <v>43475</v>
      </c>
      <c r="E16" s="156" t="s">
        <v>352</v>
      </c>
    </row>
    <row r="17" customFormat="false" ht="78" hidden="false" customHeight="false" outlineLevel="0" collapsed="false">
      <c r="A17" s="157" t="s">
        <v>347</v>
      </c>
      <c r="B17" s="154" t="s">
        <v>353</v>
      </c>
      <c r="C17" s="153" t="s">
        <v>349</v>
      </c>
      <c r="D17" s="151" t="n">
        <v>43476</v>
      </c>
      <c r="E17" s="157" t="s">
        <v>354</v>
      </c>
    </row>
    <row r="18" customFormat="false" ht="46.8" hidden="false" customHeight="false" outlineLevel="0" collapsed="false">
      <c r="A18" s="157" t="s">
        <v>347</v>
      </c>
      <c r="B18" s="154" t="s">
        <v>355</v>
      </c>
      <c r="C18" s="153" t="s">
        <v>349</v>
      </c>
      <c r="D18" s="151" t="n">
        <v>43478</v>
      </c>
      <c r="E18" s="157" t="s">
        <v>356</v>
      </c>
    </row>
    <row r="19" customFormat="false" ht="46.8" hidden="false" customHeight="false" outlineLevel="0" collapsed="false">
      <c r="A19" s="157" t="s">
        <v>347</v>
      </c>
      <c r="B19" s="154" t="s">
        <v>357</v>
      </c>
      <c r="C19" s="153" t="s">
        <v>349</v>
      </c>
      <c r="D19" s="151" t="n">
        <v>43478</v>
      </c>
      <c r="E19" s="157" t="s">
        <v>358</v>
      </c>
    </row>
    <row r="20" customFormat="false" ht="109.2" hidden="false" customHeight="false" outlineLevel="0" collapsed="false">
      <c r="A20" s="157" t="s">
        <v>342</v>
      </c>
      <c r="B20" s="154" t="s">
        <v>359</v>
      </c>
      <c r="C20" s="153" t="s">
        <v>3</v>
      </c>
      <c r="D20" s="151" t="n">
        <v>43641</v>
      </c>
      <c r="E20" s="158" t="s">
        <v>360</v>
      </c>
    </row>
    <row r="21" customFormat="false" ht="15.6" hidden="false" customHeight="false" outlineLevel="0" collapsed="false">
      <c r="A21" s="157" t="s">
        <v>342</v>
      </c>
      <c r="B21" s="154" t="s">
        <v>361</v>
      </c>
      <c r="C21" s="153" t="s">
        <v>3</v>
      </c>
      <c r="D21" s="151" t="n">
        <v>43642</v>
      </c>
      <c r="E21" s="157" t="s">
        <v>362</v>
      </c>
    </row>
    <row r="22" customFormat="false" ht="46.8" hidden="false" customHeight="false" outlineLevel="0" collapsed="false">
      <c r="A22" s="157" t="s">
        <v>342</v>
      </c>
      <c r="B22" s="154" t="s">
        <v>363</v>
      </c>
      <c r="C22" s="153" t="s">
        <v>3</v>
      </c>
      <c r="D22" s="151" t="n">
        <v>43649</v>
      </c>
      <c r="E22" s="157" t="s">
        <v>364</v>
      </c>
    </row>
    <row r="23" customFormat="false" ht="15.6" hidden="false" customHeight="false" outlineLevel="0" collapsed="false">
      <c r="A23" s="157" t="s">
        <v>342</v>
      </c>
      <c r="B23" s="154" t="s">
        <v>363</v>
      </c>
      <c r="C23" s="153" t="s">
        <v>3</v>
      </c>
      <c r="D23" s="151" t="n">
        <v>43672</v>
      </c>
      <c r="E23" s="157" t="s">
        <v>365</v>
      </c>
    </row>
    <row r="24" customFormat="false" ht="15.6" hidden="false" customHeight="false" outlineLevel="0" collapsed="false">
      <c r="A24" s="157" t="s">
        <v>342</v>
      </c>
      <c r="B24" s="154" t="s">
        <v>363</v>
      </c>
      <c r="C24" s="153" t="s">
        <v>3</v>
      </c>
      <c r="D24" s="151" t="n">
        <v>43674</v>
      </c>
      <c r="E24" s="157" t="s">
        <v>366</v>
      </c>
    </row>
    <row r="25" customFormat="false" ht="37.8" hidden="false" customHeight="false" outlineLevel="0" collapsed="false">
      <c r="A25" s="157" t="s">
        <v>342</v>
      </c>
      <c r="B25" s="154" t="s">
        <v>367</v>
      </c>
      <c r="C25" s="153" t="s">
        <v>3</v>
      </c>
      <c r="D25" s="151" t="n">
        <v>43685</v>
      </c>
      <c r="E25" s="157" t="s">
        <v>368</v>
      </c>
    </row>
    <row r="26" customFormat="false" ht="37.3" hidden="false" customHeight="false" outlineLevel="0" collapsed="false">
      <c r="A26" s="157" t="s">
        <v>369</v>
      </c>
      <c r="B26" s="154" t="s">
        <v>367</v>
      </c>
      <c r="C26" s="153" t="s">
        <v>3</v>
      </c>
      <c r="D26" s="151" t="n">
        <v>43719</v>
      </c>
      <c r="E26" s="157"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119</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2020-04-27T13:50:39Z</dcterms:modified>
  <cp:revision>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