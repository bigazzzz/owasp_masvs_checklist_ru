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media/image6.png" ContentType="image/png"/>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charts/chart11.xml" ContentType="application/vnd.openxmlformats-officedocument.drawingml.chart+xml"/>
  <Override PartName="/xl/charts/chart12.xml" ContentType="application/vnd.openxmlformats-officedocument.drawingml.chart+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Информация" sheetId="1" state="visible" r:id="rId2"/>
    <sheet name="Сводная по ИБ" sheetId="2" state="visible" r:id="rId3"/>
    <sheet name="Требования безопасности - Android" sheetId="3" state="visible" r:id="rId4"/>
    <sheet name="Противодействие Reverse Engineering - Android" sheetId="4" state="visible" r:id="rId5"/>
    <sheet name="Требования безопасности - iOS" sheetId="5" state="visible" r:id="rId6"/>
    <sheet name="Противодействие Reverse Engineering - iOS" sheetId="6" state="visible" r:id="rId7"/>
    <sheet name="Версии документа" sheetId="7" state="visible" r:id="rId8"/>
  </sheets>
  <definedNames>
    <definedName function="false" hidden="false" name="BASE_URL" vbProcedure="false">Информация!$D$14</definedName>
    <definedName function="false" hidden="false" name="MASVS_VERSION" vbProcedure="false">Информация!$D$11</definedName>
    <definedName function="false" hidden="false" name="MSTG_VERSION" vbProcedure="false">Информация!$D$13</definedName>
    <definedName function="false" hidden="false" localSheetId="2" name="_xlnm._FilterDatabase" vbProcedure="false">'Требования безопасности - Android'!$B$3:$K$72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<sst xmlns="http://schemas.openxmlformats.org/spreadsheetml/2006/main" count="995" uniqueCount="371">
  <si>
    <r>
      <rPr>
        <b val="true"/>
        <sz val="14"/>
        <rFont val="Trebuchet MS"/>
        <family val="2"/>
        <charset val="1"/>
      </rPr>
      <t xml:space="preserve">OWASP Mobile Application Security Checklist
</t>
    </r>
    <r>
      <rPr>
        <sz val="14"/>
        <rFont val="Trebuchet MS"/>
        <family val="2"/>
        <charset val="1"/>
      </rPr>
      <t xml:space="preserve">
Основан на OWASP Mobile Application Security Verification Standard (MASVS)</t>
    </r>
  </si>
  <si>
    <t xml:space="preserve">Основная информация</t>
  </si>
  <si>
    <t xml:space="preserve">MASVS ВЕРСИЯ:</t>
  </si>
  <si>
    <t xml:space="preserve">1.1.4</t>
  </si>
  <si>
    <t xml:space="preserve">Описание версии MASVS:</t>
  </si>
  <si>
    <t xml:space="preserve">MSTG Версия:</t>
  </si>
  <si>
    <t xml:space="preserve">1.1.3</t>
  </si>
  <si>
    <t xml:space="preserve">Описание версии MSTG:</t>
  </si>
  <si>
    <t xml:space="preserve">Две строки выше используются для основы всех гиперссылок в чеклистах для Android и iOS. Выберите свой конкретный вариант использования, чтобы обновить все гиперссылки</t>
  </si>
  <si>
    <t xml:space="preserve">Клиент:</t>
  </si>
  <si>
    <t xml:space="preserve">Место проведения теста:</t>
  </si>
  <si>
    <t xml:space="preserve">Дата начала теста:</t>
  </si>
  <si>
    <t xml:space="preserve">Дата конца теста:</t>
  </si>
  <si>
    <t xml:space="preserve">Исследователь:</t>
  </si>
  <si>
    <t xml:space="preserve">Область тестирования:</t>
  </si>
  <si>
    <t xml:space="preserve">Все доступные функции в исследуемом приложении &lt;AppName&gt;</t>
  </si>
  <si>
    <t xml:space="preserve">Уровень проверки:</t>
  </si>
  <si>
    <t xml:space="preserve">После консультации с &lt;Заказчиком&gt; было решено, что к &lt;AppName&gt; применимы только требования Уровня 1.</t>
  </si>
  <si>
    <t xml:space="preserve">Информация об исследование (Android)</t>
  </si>
  <si>
    <t xml:space="preserve">Приложение:</t>
  </si>
  <si>
    <t xml:space="preserve">Ссылка на Google Store</t>
  </si>
  <si>
    <t xml:space="preserve">Имя файла</t>
  </si>
  <si>
    <t xml:space="preserve">Версия</t>
  </si>
  <si>
    <t xml:space="preserve">SHA256-хэш APK
(Может быть получено с помощью shasum, openssl и sha256sum)</t>
  </si>
  <si>
    <t xml:space="preserve">Информация об исследование (iOS)</t>
  </si>
  <si>
    <t xml:space="preserve">Ссылка на App Store</t>
  </si>
  <si>
    <t xml:space="preserve">SHA256-хэш IPA
(Может быть получено с помощью shasum, openssl и sha256sum)</t>
  </si>
  <si>
    <t xml:space="preserve">Представители клиента и контактная информация</t>
  </si>
  <si>
    <t xml:space="preserve">Имя:</t>
  </si>
  <si>
    <t xml:space="preserve">Организация:</t>
  </si>
  <si>
    <t xml:space="preserve">Должность:</t>
  </si>
  <si>
    <t xml:space="preserve">Телефон:</t>
  </si>
  <si>
    <t xml:space="preserve">E-mail:</t>
  </si>
  <si>
    <t xml:space="preserve">Сводная по ИБ</t>
  </si>
  <si>
    <t xml:space="preserve">Оценка соответствия MASVS ( / 5)</t>
  </si>
  <si>
    <t xml:space="preserve">`</t>
  </si>
  <si>
    <t xml:space="preserve">Android</t>
  </si>
  <si>
    <t xml:space="preserve">iOS</t>
  </si>
  <si>
    <t xml:space="preserve">P</t>
  </si>
  <si>
    <t xml:space="preserve">F</t>
  </si>
  <si>
    <t xml:space="preserve">NA</t>
  </si>
  <si>
    <t xml:space="preserve">%</t>
  </si>
  <si>
    <t xml:space="preserve">V1: Требования к архитектуре, дизайну и модели угроз</t>
  </si>
  <si>
    <t xml:space="preserve">V2: Требования к конфиденциальности и хранению данных</t>
  </si>
  <si>
    <t xml:space="preserve">V3: Требования к криптографии</t>
  </si>
  <si>
    <t xml:space="preserve">V4: Требования к аутентификации и управлению сессиями</t>
  </si>
  <si>
    <t xml:space="preserve">V5: Требования к сетевому взаимодействию</t>
  </si>
  <si>
    <t xml:space="preserve">V6: Требования к взаимодействию с операционной системой</t>
  </si>
  <si>
    <t xml:space="preserve">V7: Требования к качеству кода и настройкам сборки</t>
  </si>
  <si>
    <t xml:space="preserve">V8: Требования к устойчивости к атакам на стороне клиента</t>
  </si>
  <si>
    <t xml:space="preserve">Требования безопасности мобильного приложения - Android</t>
  </si>
  <si>
    <t xml:space="preserve">ID</t>
  </si>
  <si>
    <t xml:space="preserve">MSTG-ID</t>
  </si>
  <si>
    <t xml:space="preserve">Детальное требование проверки</t>
  </si>
  <si>
    <t xml:space="preserve">1 уровень</t>
  </si>
  <si>
    <t xml:space="preserve">2 уровень</t>
  </si>
  <si>
    <t xml:space="preserve">Статус</t>
  </si>
  <si>
    <t xml:space="preserve">Процедуры тестирования</t>
  </si>
  <si>
    <t xml:space="preserve">Комментарии</t>
  </si>
  <si>
    <t xml:space="preserve">V1</t>
  </si>
  <si>
    <t xml:space="preserve">V1: </t>
  </si>
  <si>
    <t xml:space="preserve">1.1</t>
  </si>
  <si>
    <t xml:space="preserve">MSTG-ARCH-1</t>
  </si>
  <si>
    <t xml:space="preserve">Все компоненты приложения идентифицированы и используются.</t>
  </si>
  <si>
    <t xml:space="preserve">✓</t>
  </si>
  <si>
    <t xml:space="preserve">1.2</t>
  </si>
  <si>
    <t xml:space="preserve">MSTG-ARCH-2</t>
  </si>
  <si>
    <t xml:space="preserve">Проверки безопасности реализованы не только на клиенте, но и на бэкенде. </t>
  </si>
  <si>
    <t xml:space="preserve">1.3</t>
  </si>
  <si>
    <t xml:space="preserve">MSTG-ARCH-3</t>
  </si>
  <si>
    <t xml:space="preserve">Архитектура мобильного приложения учитывает все удалённые сервисы. Безопасность заложена в архитектуре.</t>
  </si>
  <si>
    <t xml:space="preserve">1.4</t>
  </si>
  <si>
    <t xml:space="preserve">MSTG-ARCH-4</t>
  </si>
  <si>
    <t xml:space="preserve">Определены данные, которые являются чувствительными в контексте мобильного приложения.</t>
  </si>
  <si>
    <t xml:space="preserve">1.5</t>
  </si>
  <si>
    <t xml:space="preserve">MSTG-ARCH-5</t>
  </si>
  <si>
    <t xml:space="preserve">Все компоненты приложения определены с точки зрения бизнес логики и/или безопасности.</t>
  </si>
  <si>
    <t xml:space="preserve">N/A</t>
  </si>
  <si>
    <t xml:space="preserve">1.6</t>
  </si>
  <si>
    <t xml:space="preserve">MSTG-ARCH-6</t>
  </si>
  <si>
    <t xml:space="preserve">Сформирована модель угроз для мобильного приложения и связанных с ним удаленных сервисов, которая идентифицирует потенциальные угрозы и необходимые контрмеры. </t>
  </si>
  <si>
    <t xml:space="preserve">1.7</t>
  </si>
  <si>
    <t xml:space="preserve">MSTG-ARCH-7</t>
  </si>
  <si>
    <t xml:space="preserve">Все проверки безопасности имеют централизованную реализацию.</t>
  </si>
  <si>
    <t xml:space="preserve">1.8</t>
  </si>
  <si>
    <t xml:space="preserve">MSTG-ARCH-8</t>
  </si>
  <si>
    <t xml:space="preserve">Существует явная политика управления криптографическими ключами (если они есть) и их жизненным циклом. В идеале политика соответствует стандарту управления ключами, например, NIST SP 800-57.</t>
  </si>
  <si>
    <t xml:space="preserve">1.9</t>
  </si>
  <si>
    <t xml:space="preserve">MSTG-ARCH-9</t>
  </si>
  <si>
    <t xml:space="preserve">Существует механизм принудительных обновлений мобильного приложения.</t>
  </si>
  <si>
    <t xml:space="preserve">1.10</t>
  </si>
  <si>
    <t xml:space="preserve">MSTG-ARCH-10</t>
  </si>
  <si>
    <t xml:space="preserve">Безопасность заложена во все этапы жизненного цикла разработки программного обеспечения.</t>
  </si>
  <si>
    <t xml:space="preserve">V2</t>
  </si>
  <si>
    <t xml:space="preserve">Требования к конфиденциальности и хранению данных</t>
  </si>
  <si>
    <t xml:space="preserve">2.1</t>
  </si>
  <si>
    <t xml:space="preserve">MSTG-STORAGE‑1</t>
  </si>
  <si>
    <t xml:space="preserve">Хранилище учетных данных системы должно использоваться надлежащим образом для хранения чувствительных данных, таких как персональные данные, данные пользователя для авторизации и криптографические ключи.</t>
  </si>
  <si>
    <t xml:space="preserve">2.2</t>
  </si>
  <si>
    <t xml:space="preserve">MSTG-STORAGE‑2</t>
  </si>
  <si>
    <t xml:space="preserve">Чувствительные данные хранятся только во внутреннем хранилище приложения, либо в системном хранилище авторизационных данных.</t>
  </si>
  <si>
    <t xml:space="preserve">2.3</t>
  </si>
  <si>
    <t xml:space="preserve">MSTG-STORAGE‑3</t>
  </si>
  <si>
    <t xml:space="preserve">Чувствительные данные не попадают в логи приложения.</t>
  </si>
  <si>
    <t xml:space="preserve">2.4</t>
  </si>
  <si>
    <t xml:space="preserve">MSTG-STORAGE‑4</t>
  </si>
  <si>
    <t xml:space="preserve">Никакие чувствительные данные не передаются третьей стороне, если это не является необходимой частью архитектуры.</t>
  </si>
  <si>
    <t xml:space="preserve">2.5</t>
  </si>
  <si>
    <t xml:space="preserve">MSTG-STORAGE‑5</t>
  </si>
  <si>
    <t xml:space="preserve">Кэш клавиатуры выключен для полей ввода чувствительных данных.</t>
  </si>
  <si>
    <t xml:space="preserve">2.6</t>
  </si>
  <si>
    <t xml:space="preserve">MSTG-STORAGE‑6</t>
  </si>
  <si>
    <t xml:space="preserve">Чувствительные данные недоступны для механизмов межпроцессного взаимодействия (IPC).</t>
  </si>
  <si>
    <t xml:space="preserve">2.7</t>
  </si>
  <si>
    <t xml:space="preserve">MSTG-STORAGE‑7</t>
  </si>
  <si>
    <t xml:space="preserve">Никакие чувствительные данные, такие как пароли или пин-коды, не видны через пользовательский интерфейс.</t>
  </si>
  <si>
    <t xml:space="preserve">2.8</t>
  </si>
  <si>
    <t xml:space="preserve">MSTG-STORAGE‑8</t>
  </si>
  <si>
    <t xml:space="preserve">Никакие чувствительные данные не попадают в бэкапы, создаваемые операционной системой.</t>
  </si>
  <si>
    <t xml:space="preserve">2.9</t>
  </si>
  <si>
    <t xml:space="preserve">MSTG-STORAGE‑9</t>
  </si>
  <si>
    <t xml:space="preserve">Приложение скрывает чувствительные данные с экрана, когда находится в фоновом режиме.</t>
  </si>
  <si>
    <t xml:space="preserve">2.10</t>
  </si>
  <si>
    <t xml:space="preserve">MSTG-STORAGE‑10</t>
  </si>
  <si>
    <t xml:space="preserve">Приложение не хранит чувствительные данные в памяти дольше, чем необходимо, и полностью удаляет их из памяти после работы с ними.</t>
  </si>
  <si>
    <t xml:space="preserve">2.11</t>
  </si>
  <si>
    <t xml:space="preserve">MSTG-STORAGE‑11</t>
  </si>
  <si>
    <t xml:space="preserve">Приложение требует от пользователя минимальную настройку доступа к устройству, такую, как установку пин-кода на устройство.</t>
  </si>
  <si>
    <t xml:space="preserve">2.12</t>
  </si>
  <si>
    <t xml:space="preserve">MSTG-STORAGE‑12</t>
  </si>
  <si>
    <t xml:space="preserve">Приложение информирует пользователя о персональных данных, которые оно обрабатывает, а также о лучших практиках безопасности, которым должен следовать пользователь при использовании приложения.</t>
  </si>
  <si>
    <t xml:space="preserve">V3</t>
  </si>
  <si>
    <t xml:space="preserve">Требования к криптографии</t>
  </si>
  <si>
    <t xml:space="preserve">3.1</t>
  </si>
  <si>
    <t xml:space="preserve">MSTG‑CRYPTO‑1</t>
  </si>
  <si>
    <t xml:space="preserve">Приложение не полагается на симметричную криптографию с зафиксированными в приложении ключами, как на единственный метод шифрования</t>
  </si>
  <si>
    <t xml:space="preserve">3.2</t>
  </si>
  <si>
    <t xml:space="preserve">MSTG‑CRYPTO‑2</t>
  </si>
  <si>
    <t xml:space="preserve">Приложение использует проверенные реализации криптографических алгоритмов.</t>
  </si>
  <si>
    <t xml:space="preserve">3.3</t>
  </si>
  <si>
    <t xml:space="preserve">MSTG‑CRYPTO‑3</t>
  </si>
  <si>
    <t xml:space="preserve">Приложение использует подходящие криптографические алгоритмы для каждого конкретного случая, с параметрами, которые соответствуют лучшим практикам индустрии.</t>
  </si>
  <si>
    <t xml:space="preserve">3.4</t>
  </si>
  <si>
    <t xml:space="preserve">MSTG‑CRYPTO‑4</t>
  </si>
  <si>
    <t xml:space="preserve">Приложение не использует устаревшие и слабые криптографические протоколы и алгоритмы.</t>
  </si>
  <si>
    <t xml:space="preserve">3.5</t>
  </si>
  <si>
    <t xml:space="preserve">MSTG‑CRYPTO‑5</t>
  </si>
  <si>
    <t xml:space="preserve">Приложение не использует один и тот же ключ несколько раз. </t>
  </si>
  <si>
    <t xml:space="preserve">3.6</t>
  </si>
  <si>
    <t xml:space="preserve">MSTG‑CRYPTO‑6</t>
  </si>
  <si>
    <t xml:space="preserve">Все случайные значения генерируются с использованием безопасного генератора случайных чисел.</t>
  </si>
  <si>
    <t xml:space="preserve">V4</t>
  </si>
  <si>
    <t xml:space="preserve">Требования к аутентификации и управлению сессиями</t>
  </si>
  <si>
    <t xml:space="preserve">4.1</t>
  </si>
  <si>
    <t xml:space="preserve">MSTG-AUTH-1</t>
  </si>
  <si>
    <t xml:space="preserve">Если приложение предоставляет пользователям доступ к удалённым сервисам, на бэкенде должна быть реализована аутентификация, например, по логину и паролю.</t>
  </si>
  <si>
    <t xml:space="preserve">4.2</t>
  </si>
  <si>
    <t xml:space="preserve">MSTG-AUTH-2</t>
  </si>
  <si>
    <t xml:space="preserve">Если используются сессии, бекэнд случайно генерирует идентификаторы сессии для аутентификации клиентских запросов без отправки данных учётной записи. </t>
  </si>
  <si>
    <t xml:space="preserve">4.3</t>
  </si>
  <si>
    <t xml:space="preserve">MSTG-AUTH-3</t>
  </si>
  <si>
    <t xml:space="preserve">Если используется аутентификация на основе токена, сервер предоставляет токен, подписанный с использованием безопасного криптоалгоритма.</t>
  </si>
  <si>
    <t xml:space="preserve">4.4</t>
  </si>
  <si>
    <t xml:space="preserve">MSTG-AUTH-4</t>
  </si>
  <si>
    <t xml:space="preserve">Бэкенд удаляет существующую сессию, когда пользователь выходит из системы.</t>
  </si>
  <si>
    <t xml:space="preserve">4.5</t>
  </si>
  <si>
    <t xml:space="preserve">MSTG-AUTH-5</t>
  </si>
  <si>
    <t xml:space="preserve">На сервере реализована парольная политика.</t>
  </si>
  <si>
    <t xml:space="preserve">4.6</t>
  </si>
  <si>
    <t xml:space="preserve">MSTG-AUTH-6</t>
  </si>
  <si>
    <t xml:space="preserve">На сервере реализован механизм защиты от перебора авторизационных данных.</t>
  </si>
  <si>
    <t xml:space="preserve">4.7</t>
  </si>
  <si>
    <t xml:space="preserve">MSTG-AUTH-7</t>
  </si>
  <si>
    <t xml:space="preserve">Биометрическая аутентификация не является event-bound (т.е. использует только API, которое возвращает «true» или «false»). Вместо этого она основана на разблокировке keychain/keystore.</t>
  </si>
  <si>
    <t xml:space="preserve">4.8</t>
  </si>
  <si>
    <t xml:space="preserve">MSTG-AUTH-8</t>
  </si>
  <si>
    <t xml:space="preserve">Сессии становятся невалидными на бэкенде после определенного периода бездействия, срок действия токена истекает.</t>
  </si>
  <si>
    <t xml:space="preserve">4.9</t>
  </si>
  <si>
    <t xml:space="preserve">MSTG-AUTH-9</t>
  </si>
  <si>
    <t xml:space="preserve">Реализована и поддерживается двухфакторная аутентификация.</t>
  </si>
  <si>
    <t xml:space="preserve">4.10</t>
  </si>
  <si>
    <t xml:space="preserve">MSTG-AUTH-10</t>
  </si>
  <si>
    <t xml:space="preserve">Для выполнения чувствительных транзакций требуется дополнительная или повторная аутентификацию.</t>
  </si>
  <si>
    <t xml:space="preserve">4.11</t>
  </si>
  <si>
    <t xml:space="preserve">MSTG-AUTH-11</t>
  </si>
  <si>
    <t xml:space="preserve">Приложение информирует пользователя о всех важных действиях с их учетной записью. Пользователи могут просматривать список устройств, просматривать контекстную информацию (IP-адрес, местоположение и т.д.), и блокировать конкретные устройства.</t>
  </si>
  <si>
    <t xml:space="preserve">V5</t>
  </si>
  <si>
    <t xml:space="preserve">Требования к сетевому взаимодействию</t>
  </si>
  <si>
    <t xml:space="preserve">5.1</t>
  </si>
  <si>
    <t xml:space="preserve">MSTG-NETWORK-1</t>
  </si>
  <si>
    <t xml:space="preserve">Данные, передаваемые по сети, шифруются с использованием TLS. Безопасный канал используется для всех сервисов приложения.</t>
  </si>
  <si>
    <t xml:space="preserve">5.2</t>
  </si>
  <si>
    <t xml:space="preserve">MSTG-NETWORK-2</t>
  </si>
  <si>
    <t xml:space="preserve">Настройки TLS соответствуют современным лучшим практикам, или максимально приближены к ним, если операционная система не поддерживает рекомендуемые стандарты.</t>
  </si>
  <si>
    <t xml:space="preserve">5.3</t>
  </si>
  <si>
    <t xml:space="preserve">MSTG-NETWORK-3</t>
  </si>
  <si>
    <t xml:space="preserve">Приложение верифицирует X.509 сертификаты сервера во время установления защищённого канала. Принимаются только сертификаты, подписанные доверенным удостоверяющим центром (CA).</t>
  </si>
  <si>
    <t xml:space="preserve">5.4</t>
  </si>
  <si>
    <t xml:space="preserve">MSTG-NETWORK-4</t>
  </si>
  <si>
    <t xml:space="preserve">В приложении реализован SSL pinning и соединение с серверами, которые предлагают другой сертификат или ключ, даже если они подписаны доверенным центром сертификации (CA) не устанавливается.</t>
  </si>
  <si>
    <t xml:space="preserve">5.5</t>
  </si>
  <si>
    <t xml:space="preserve">MSTG-NETWORK-5</t>
  </si>
  <si>
    <t xml:space="preserve">Приложение не полагается на единственный небезопасный канал связи (e-mail или SMS) для таких критических операций, как регистрация и восстановление аккаунта.</t>
  </si>
  <si>
    <t xml:space="preserve">5.6</t>
  </si>
  <si>
    <t xml:space="preserve">MSTG-NETWORK-6</t>
  </si>
  <si>
    <t xml:space="preserve">Приложение использует только актуальные версии библиотек для подключения к сети и обеспечения безопасного соединения.</t>
  </si>
  <si>
    <t xml:space="preserve">V6</t>
  </si>
  <si>
    <t xml:space="preserve">Требования к взаимодействию с операционной системой</t>
  </si>
  <si>
    <t xml:space="preserve">6.1</t>
  </si>
  <si>
    <t xml:space="preserve">MSTG-PLATFORM-1</t>
  </si>
  <si>
    <t xml:space="preserve">Приложение запрашивает минимально необходимый набор разрешений.</t>
  </si>
  <si>
    <t xml:space="preserve">6.2</t>
  </si>
  <si>
    <t xml:space="preserve">MSTG-PLATFORM-2</t>
  </si>
  <si>
    <t xml:space="preserve">Все данные, поступающие из внешних источников и от пользователя, валидируются и санитизируются. Сюда входят данные, полученные через пользовательский интерфейс, механизмы IPC (такие как intent-ы, кастомные URL-схемы) и из сети.</t>
  </si>
  <si>
    <t xml:space="preserve">6.3</t>
  </si>
  <si>
    <t xml:space="preserve">MSTG-PLATFORM-3</t>
  </si>
  <si>
    <t xml:space="preserve">Приложение не экспортирует чувствительные данные через кастомные URL-схемы, если эти механизмы не защищены должным образом.</t>
  </si>
  <si>
    <t xml:space="preserve">6.4</t>
  </si>
  <si>
    <t xml:space="preserve">MSTG-PLATFORM-4</t>
  </si>
  <si>
    <t xml:space="preserve">Приложение не экспортирует чувствительные данные через IPC механизмы без должной защиты.</t>
  </si>
  <si>
    <t xml:space="preserve">6.5</t>
  </si>
  <si>
    <t xml:space="preserve">MSTG-PLATFORM-5</t>
  </si>
  <si>
    <t xml:space="preserve">JavaScript отключен в компонентах WebView, если в нём нет необходимости.</t>
  </si>
  <si>
    <t xml:space="preserve">6.6</t>
  </si>
  <si>
    <t xml:space="preserve">MSTG-PLATFORM-6</t>
  </si>
  <si>
    <t xml:space="preserve">WebViews сконфигурирован с поддержкой минимального набора протоколов (в идеале только https). Поддержка потенциально опасных URL-схем (таких как: file, tel и app-id) отключена.</t>
  </si>
  <si>
    <t xml:space="preserve">6.7</t>
  </si>
  <si>
    <t xml:space="preserve">MSTG-PLATFORM-7</t>
  </si>
  <si>
    <t xml:space="preserve">Если нативные методы приложения используются WebView, верифицировать, что исполняются только Javascript объекты данного приложения.</t>
  </si>
  <si>
    <t xml:space="preserve">6.8</t>
  </si>
  <si>
    <t xml:space="preserve">MSTG-PLATFORM-8</t>
  </si>
  <si>
    <t xml:space="preserve">Десериализация объектов, если она есть, реализована с использованием безопасного API.</t>
  </si>
  <si>
    <t xml:space="preserve">V7</t>
  </si>
  <si>
    <t xml:space="preserve">Требования к качеству кода и настройкам сборки</t>
  </si>
  <si>
    <t xml:space="preserve">7.1</t>
  </si>
  <si>
    <t xml:space="preserve">MSTG-CODE-1</t>
  </si>
  <si>
    <t xml:space="preserve">Приложение подписано валидным сертификатом.</t>
  </si>
  <si>
    <t xml:space="preserve">7.2</t>
  </si>
  <si>
    <t xml:space="preserve">MSTG-CODE-2</t>
  </si>
  <si>
    <t xml:space="preserve">Приложение было собрано в release режиме с настройками, подходящими для релизной сборки (например, без атрибута debuggable).</t>
  </si>
  <si>
    <t xml:space="preserve">7.3</t>
  </si>
  <si>
    <t xml:space="preserve">MSTG-CODE-3</t>
  </si>
  <si>
    <t xml:space="preserve">Отладочные символы удалены из нативных бинарных файлов.</t>
  </si>
  <si>
    <t xml:space="preserve">7.4</t>
  </si>
  <si>
    <t xml:space="preserve">MSTG-CODE-4</t>
  </si>
  <si>
    <t xml:space="preserve">Kод отладки и вспомогательный дла разработки код (например, тестовый код, бэкдоры, скрытые настройки) были удалены. Приложение не логирует подробные ошибки и отладочные сообщения.</t>
  </si>
  <si>
    <t xml:space="preserve">7.5</t>
  </si>
  <si>
    <t xml:space="preserve">MSTG-CODE-5</t>
  </si>
  <si>
    <t xml:space="preserve">Все сторонние компоненты, используемые мобильным приложением (библиотеки и фреймворки), идентифицированы и проверены на наличие известных уязвимостей.</t>
  </si>
  <si>
    <t xml:space="preserve">7.6</t>
  </si>
  <si>
    <t xml:space="preserve">MSTG-CODE-6</t>
  </si>
  <si>
    <t xml:space="preserve">Приложение обрабатывает возможные исключения.</t>
  </si>
  <si>
    <t xml:space="preserve">7.7</t>
  </si>
  <si>
    <t xml:space="preserve">MSTG-CODE-7</t>
  </si>
  <si>
    <t xml:space="preserve">В логике обработки связанных с безопасностью ошибок по умолчанию запрещается доступ.</t>
  </si>
  <si>
    <t xml:space="preserve">7.8</t>
  </si>
  <si>
    <t xml:space="preserve">MSTG-CODE-8</t>
  </si>
  <si>
    <t xml:space="preserve">В неконтролируемом коде память выделяется, освобождается и используется безопасно.</t>
  </si>
  <si>
    <t xml:space="preserve">7.9</t>
  </si>
  <si>
    <t xml:space="preserve">MSTG-CODE-9</t>
  </si>
  <si>
    <t xml:space="preserve">Активированы все стандартные функции безопасности, предусмотренные инструментами разработчика (такие как минификация байт-кода, защита стека, поддержка PIE и ARC).</t>
  </si>
  <si>
    <t xml:space="preserve">Легенда</t>
  </si>
  <si>
    <t xml:space="preserve">Символ</t>
  </si>
  <si>
    <t xml:space="preserve">Описание</t>
  </si>
  <si>
    <t xml:space="preserve">Pass</t>
  </si>
  <si>
    <t xml:space="preserve">Требование применимо к мобильному приложению и реализовано в соответствии с лучшими практиками.</t>
  </si>
  <si>
    <t xml:space="preserve">Fail</t>
  </si>
  <si>
    <t xml:space="preserve">Требование применимо к мобильному приложению, но не выполнено.</t>
  </si>
  <si>
    <t xml:space="preserve">Требование не распространяется на мобильное приложение.</t>
  </si>
  <si>
    <t xml:space="preserve">Требования к устойчивости к атакам на стороне клиента - Android</t>
  </si>
  <si>
    <t xml:space="preserve">Требования к устойчивости к атакам на стороне клиента</t>
  </si>
  <si>
    <t xml:space="preserve">R</t>
  </si>
  <si>
    <t xml:space="preserve">Status</t>
  </si>
  <si>
    <t xml:space="preserve">Testing Procedure(s)</t>
  </si>
  <si>
    <t xml:space="preserve">Comment</t>
  </si>
  <si>
    <t xml:space="preserve">Impede Dynamic Analysis and Tampering</t>
  </si>
  <si>
    <t xml:space="preserve">8.1</t>
  </si>
  <si>
    <t xml:space="preserve">MSTG-RESILIENCE-1</t>
  </si>
  <si>
    <t xml:space="preserve">Приложение обнаруживает и реагирует на наличие root или jailbreak, либо уведомляя пользователя, либо прекращая работу.</t>
  </si>
  <si>
    <t xml:space="preserve">8.2</t>
  </si>
  <si>
    <t xml:space="preserve">MSTG-RESILIENCE-2</t>
  </si>
  <si>
    <t xml:space="preserve">Приложение не позволяет использовать отладчики и/или обнаруживает и реагирует на использование отладчика. Все доступные протоколы отладки должны быть учтены.</t>
  </si>
  <si>
    <t xml:space="preserve">8.3</t>
  </si>
  <si>
    <t xml:space="preserve">MSTG-RESILIENCE-3</t>
  </si>
  <si>
    <t xml:space="preserve">Приложение обнаруживает и реагирует на внесения изменений в исполняемые файлы и критичные данные в своей песочнице.</t>
  </si>
  <si>
    <t xml:space="preserve">8.4</t>
  </si>
  <si>
    <t xml:space="preserve">MSTG-RESILIENCE-4</t>
  </si>
  <si>
    <t xml:space="preserve">Приложение обнаруживает и реагирует на наличие на устройстве широко используемых инструментов и фреймворков для реверс инжиниринга.</t>
  </si>
  <si>
    <t xml:space="preserve">8.5</t>
  </si>
  <si>
    <t xml:space="preserve">MSTG-RESILIENCE-5</t>
  </si>
  <si>
    <t xml:space="preserve">Приложение обнаруживает и реагирует на запуск на эмуляторе.</t>
  </si>
  <si>
    <t xml:space="preserve">8.6</t>
  </si>
  <si>
    <t xml:space="preserve">MSTG-RESILIENCE-6</t>
  </si>
  <si>
    <t xml:space="preserve">Приложение обнаруживает и реагирует на изменение своего кода и данных в оперативной памяти.</t>
  </si>
  <si>
    <t xml:space="preserve">8.7</t>
  </si>
  <si>
    <t xml:space="preserve">MSTG-RESILIENCE-7</t>
  </si>
  <si>
    <t xml:space="preserve">Приложение реализует несколько механизмов для каждой категории защиты (с 8.1 по 8.6). Обратите внимание, что на устойчивость к атакам влияет количество, разнообразие и оригинальность используемых механизмов.</t>
  </si>
  <si>
    <t xml:space="preserve"> -</t>
  </si>
  <si>
    <t xml:space="preserve">8.8</t>
  </si>
  <si>
    <t xml:space="preserve">MSTG-RESILIENCE-8</t>
  </si>
  <si>
    <t xml:space="preserve">Механизмы обнаружения инициируют ответные меры разных типов, включая отложенные и скрытые.</t>
  </si>
  <si>
    <t xml:space="preserve">-</t>
  </si>
  <si>
    <t xml:space="preserve">8.9</t>
  </si>
  <si>
    <t xml:space="preserve">MSTG-RESILIENCE-9</t>
  </si>
  <si>
    <t xml:space="preserve">Обфускация применена в том числе и к тем программным механизмам, которые препятствуют деобфускации методами динамического анализа.</t>
  </si>
  <si>
    <t xml:space="preserve">Привязка к устройству</t>
  </si>
  <si>
    <t xml:space="preserve">8.10</t>
  </si>
  <si>
    <t xml:space="preserve">MSTG-RESILIENCE-10</t>
  </si>
  <si>
    <t xml:space="preserve">Приложение реализует функциональность привязки экземпляра приложения к устройству, формируя его отпечаток из нескольких свойств, уникальных для устройства.</t>
  </si>
  <si>
    <t xml:space="preserve">Противодействие восстановлению логики работы приложения</t>
  </si>
  <si>
    <t xml:space="preserve">8.11</t>
  </si>
  <si>
    <t xml:space="preserve">MSTG-RESILIENCE-11</t>
  </si>
  <si>
    <t xml:space="preserve">Все исполняемые файлы и библиотеки, принадлежащие приложению, зашифрованы на файловом уровне, либо важные участки кода и данных зашифрованы внутри исполняемых файлов. Простой статический анализ не позволяет обнаружить важный код или данные.</t>
  </si>
  <si>
    <t xml:space="preserve">8.12</t>
  </si>
  <si>
    <t xml:space="preserve">MSTG-RESILIENCE-12</t>
  </si>
  <si>
    <t xml:space="preserve">Если задачей обфускации является защита конфиденциальных данных, то используется схема обфускации, которая подходит не только для этой задачи, но и защищает от ручной тестирования и автоматизированных деобфускаторов и учитывает последние исследования по данной теме. Эффективность схемы обфускации должна быть проверена с помощью ручного тестирования. Обратите внимание, что использование аппаратных средств защиты (если они поддерживаются устройством) предпочтительнее обфускации.</t>
  </si>
  <si>
    <t xml:space="preserve">Требования безопасности мобильного приложения - iOS</t>
  </si>
  <si>
    <t xml:space="preserve">Требования к устойчивости к атакам на стороне клиента — iOS</t>
  </si>
  <si>
    <t xml:space="preserve">XLS Version History</t>
  </si>
  <si>
    <t xml:space="preserve">Name</t>
  </si>
  <si>
    <t xml:space="preserve">Version</t>
  </si>
  <si>
    <t xml:space="preserve">MASVS version</t>
  </si>
  <si>
    <t xml:space="preserve">Date</t>
  </si>
  <si>
    <t xml:space="preserve">Alexander Antukh (Opera Software)</t>
  </si>
  <si>
    <t xml:space="preserve">Initial draft</t>
  </si>
  <si>
    <t xml:space="preserve">Sven Schleier </t>
  </si>
  <si>
    <t xml:space="preserve">Merging of three diffeent templates</t>
  </si>
  <si>
    <t xml:space="preserve">Abdessamad Temmar</t>
  </si>
  <si>
    <t xml:space="preserve">Adding Spider Chart</t>
  </si>
  <si>
    <t xml:space="preserve">Bernhard Mueller</t>
  </si>
  <si>
    <t xml:space="preserve">0.8.1</t>
  </si>
  <si>
    <t xml:space="preserve">Rework, adding links to Testing Guide</t>
  </si>
  <si>
    <t xml:space="preserve">0.9.2</t>
  </si>
  <si>
    <t xml:space="preserve">QA (and sync version number with MASVS)</t>
  </si>
  <si>
    <t xml:space="preserve">0.9.3</t>
  </si>
  <si>
    <t xml:space="preserve">Sync with MASVS (merge 7.9 into 7.8)</t>
  </si>
  <si>
    <t xml:space="preserve">Sync with MASVS (update requirements of domain 4 and R)</t>
  </si>
  <si>
    <t xml:space="preserve">0.9.4</t>
  </si>
  <si>
    <t xml:space="preserve">Sync with MASVS (update requirements of domain 1, 4 and 6)</t>
  </si>
  <si>
    <t xml:space="preserve">1.0</t>
  </si>
  <si>
    <t xml:space="preserve">Sync with MASVS (update requirements of domain 3 and 8)</t>
  </si>
  <si>
    <t xml:space="preserve">Sync with MASVS (update requirements of domain 2), change links to new Gitbook</t>
  </si>
  <si>
    <t xml:space="preserve">Abderrahmane Aftahi</t>
  </si>
  <si>
    <t xml:space="preserve">1.1.0.1</t>
  </si>
  <si>
    <t xml:space="preserve">Translating to French based on MASVS 1.1.1</t>
  </si>
  <si>
    <t xml:space="preserve">Romuald Szkudlarek</t>
  </si>
  <si>
    <t xml:space="preserve">1.1.0.2</t>
  </si>
  <si>
    <t xml:space="preserve">Georges Bolssens</t>
  </si>
  <si>
    <t xml:space="preserve">1.1.0.3</t>
  </si>
  <si>
    <t xml:space="preserve">1.1.0</t>
  </si>
  <si>
    <r>
      <rPr>
        <b val="true"/>
        <sz val="12"/>
        <color rgb="FF000000"/>
        <rFont val="Calibri"/>
        <family val="2"/>
        <charset val="1"/>
      </rPr>
      <t xml:space="preserve">Sync with MASVS/MSTG v1.1.0
</t>
    </r>
    <r>
      <rPr>
        <sz val="12"/>
        <color rgb="FF000000"/>
        <rFont val="Calibri"/>
        <family val="2"/>
        <charset val="1"/>
      </rPr>
      <t xml:space="preserve">- Rewriting the "Detailed Verification Requirement" columns to match the wording of the MASVS
- Adding 0x05/0x06 hyperlinks to MSTG for V3.3+3.5 (previously both 0x04)
- Adding 0x05 hyperlink to MSTG for Android-V7.5 (previously blank)
- Adding 0x06 hyperlink to MSTG for iOS-V6.1+6.6+6.7+6.8+7.5+7.8 (previously blank)
- Updates the linktext of iOS-V5.3 to "Testing Custom Certificate Stores and SSL Pinning" as there's no separate paragraph for "Testing Endpoint Identify Verification"
- Updates the linktext of iOS-V8.1 to "Testing Jailbreak Detection" (previously "Advanced Root Detection" which is the wrong term for the platform)
</t>
    </r>
    <r>
      <rPr>
        <b val="true"/>
        <sz val="12"/>
        <color rgb="FF000000"/>
        <rFont val="Calibri"/>
        <family val="2"/>
        <charset val="1"/>
      </rPr>
      <t xml:space="preserve">
Coupling the checklist version to a specific MASVS/MSTG versio</t>
    </r>
    <r>
      <rPr>
        <sz val="12"/>
        <color rgb="FF000000"/>
        <rFont val="Calibri"/>
        <family val="2"/>
        <charset val="1"/>
      </rPr>
      <t xml:space="preserve">n and shifting to github.com instead of gitbook.io
- Reflecting MASVS/MSTG version in the "Dashboard" worksheet in cell D11 (named range "MASVS_VERSION")
- Reflecting the "root" of the MSTG version on github.com in the "Dashboard" worksheet in cell D12 (named range "BASE_URL")
- Composing the hyperlinks to the MSTG dynamically with formulas to simplify future maintenance and multilingual support by referencing the two named ranges above
- Adding a column "MASVS version" to this "version history" worksheet to reflect the link between versioning of this checklist and MASVS/MSTG
</t>
    </r>
    <r>
      <rPr>
        <b val="true"/>
        <sz val="12"/>
        <color rgb="FF000000"/>
        <rFont val="Calibri"/>
        <family val="2"/>
        <charset val="1"/>
      </rPr>
      <t xml:space="preserve">
Syncing "Anti-RE" worksheets to better match the L1/L2 "Security Requirements" worksheets
</t>
    </r>
    <r>
      <rPr>
        <sz val="12"/>
        <color rgb="FF000000"/>
        <rFont val="Calibri"/>
        <family val="2"/>
        <charset val="1"/>
      </rPr>
      <t xml:space="preserve">- Adding "ID" header
- Removing inner cell borders
</t>
    </r>
    <r>
      <rPr>
        <b val="true"/>
        <sz val="12"/>
        <color rgb="FF000000"/>
        <rFont val="Calibri"/>
        <family val="2"/>
        <charset val="1"/>
      </rPr>
      <t xml:space="preserve">
Housekeeping/Mis</t>
    </r>
    <r>
      <rPr>
        <sz val="12"/>
        <color rgb="FF000000"/>
        <rFont val="Calibri"/>
        <family val="2"/>
        <charset val="1"/>
      </rPr>
      <t xml:space="preserve">c
- Adding missing "-" in the "Testing procedure" columns for where there is no testcase in the MSTG
- Adding missing cell-border lines
- Setting all ID's to "x.y" formatting. Was previously a mix of "x.y" and "x,y"
- Setting the cell type of the ID columns to "Text" to prevent Excel from forcing the decimal point from a period to a comma
- Enabled gridlines on both Android worksheets to improve readability (inspired by the iOS worksheets)
- Resetting all worksheets' zoom levels to 100%
- Presetting iOS-2.11 to "N/A" (previously unset)</t>
    </r>
  </si>
  <si>
    <t xml:space="preserve">1.1.0.4</t>
  </si>
  <si>
    <t xml:space="preserve">Updating the lnk to the 1.1.0 version of the guide</t>
  </si>
  <si>
    <t xml:space="preserve">1.1.0.5</t>
  </si>
  <si>
    <t xml:space="preserve">SHA256 checksum instead of MD5 on Dashboard worksheet
Fixed the Management Summary worksheet
Added explanation for hyperlinking to the Dashboard worksheet
Added 0x04 hyperlink to MSTG for V4.11 on both platforms (previously blank)
</t>
  </si>
  <si>
    <t xml:space="preserve">1.1.0.6</t>
  </si>
  <si>
    <t xml:space="preserve">
Added 0x06 hyperlink to MSTG for V5.6 on iOS (previously blank)
Added a second hyperlink where feasible</t>
  </si>
  <si>
    <t xml:space="preserve">1.1.0.7</t>
  </si>
  <si>
    <t xml:space="preserve">Adjusted headings to facilitate having 2 links to the MSTG
Adding 0x05 hyperlink to MSTG for Android-V8.11 (previously blank)
Cosmetics (Top-Left alignment, WordWrap, fit-to-width and -height)</t>
  </si>
  <si>
    <t xml:space="preserve">1.1.1.1</t>
  </si>
  <si>
    <r>
      <rPr>
        <b val="true"/>
        <sz val="12"/>
        <color rgb="FF000000"/>
        <rFont val="Calibri"/>
        <family val="2"/>
        <charset val="1"/>
      </rPr>
      <t xml:space="preserve">Updating the links based on OSS19 restructured chapters:
</t>
    </r>
    <r>
      <rPr>
        <sz val="12"/>
        <color rgb="FF000000"/>
        <rFont val="Calibri"/>
        <family val="2"/>
        <charset val="1"/>
      </rPr>
      <t xml:space="preserve">android 
3.2|3.4|4.9|4.10|5.2|5.4|7.7
IOS
3.2|4.5|4.10|4.11|5.1|5.3|6.4|7.8
</t>
    </r>
  </si>
  <si>
    <t xml:space="preserve">1.1.1.2</t>
  </si>
  <si>
    <t xml:space="preserve">Correcting the Link to the MSTG repo and adding a link to the MASVS repo</t>
  </si>
  <si>
    <t xml:space="preserve">1.1.1.3</t>
  </si>
  <si>
    <t xml:space="preserve">Synchronizing the requirements wording in excel with the MASVS
changes:
2.9</t>
  </si>
  <si>
    <t xml:space="preserve">Updating the link 2.12 for IOS </t>
  </si>
  <si>
    <t xml:space="preserve">Ensure that tiles are in sync on Excel and MSTG</t>
  </si>
  <si>
    <t xml:space="preserve">1.1.2</t>
  </si>
  <si>
    <t xml:space="preserve">Updates:
- Adding the MSTG-IDs
- Covering the V1 MSTG links</t>
  </si>
  <si>
    <t xml:space="preserve">Jonas Wendorf</t>
  </si>
  <si>
    <t xml:space="preserve">Updates:
- Added missing translations for headings
- Fixed some outlines</t>
  </si>
</sst>
</file>

<file path=xl/styles.xml><?xml version="1.0" encoding="utf-8"?>
<styleSheet xmlns="http://schemas.openxmlformats.org/spreadsheetml/2006/main">
  <numFmts count="9">
    <numFmt numFmtId="164" formatCode="General"/>
    <numFmt numFmtId="165" formatCode="[&lt;=9999999]###\-####;\(###&quot;) &quot;###\-####"/>
    <numFmt numFmtId="166" formatCode="0"/>
    <numFmt numFmtId="167" formatCode="0\ %"/>
    <numFmt numFmtId="168" formatCode="General"/>
    <numFmt numFmtId="169" formatCode="0.00\ %"/>
    <numFmt numFmtId="170" formatCode="#,##0.00_);\(#,##0.00\)"/>
    <numFmt numFmtId="171" formatCode="@"/>
    <numFmt numFmtId="172" formatCode="[$-407]dd/mm/yyyy"/>
  </numFmts>
  <fonts count="33">
    <font>
      <sz val="12"/>
      <color rgb="FF000000"/>
      <name val="Calibri"/>
      <family val="2"/>
      <charset val="1"/>
    </font>
    <font>
      <sz val="10"/>
      <name val="Arial"/>
      <family val="0"/>
      <charset val="204"/>
    </font>
    <font>
      <sz val="10"/>
      <name val="Arial"/>
      <family val="0"/>
      <charset val="204"/>
    </font>
    <font>
      <sz val="10"/>
      <name val="Arial"/>
      <family val="0"/>
      <charset val="204"/>
    </font>
    <font>
      <b val="true"/>
      <sz val="14"/>
      <name val="Trebuchet MS"/>
      <family val="2"/>
      <charset val="1"/>
    </font>
    <font>
      <sz val="14"/>
      <name val="Trebuchet MS"/>
      <family val="2"/>
      <charset val="1"/>
    </font>
    <font>
      <sz val="12"/>
      <color rgb="FF000000"/>
      <name val="Trebuchet MS"/>
      <family val="2"/>
      <charset val="1"/>
    </font>
    <font>
      <b val="true"/>
      <sz val="10"/>
      <name val="Trebuchet MS"/>
      <family val="2"/>
      <charset val="1"/>
    </font>
    <font>
      <u val="single"/>
      <sz val="12"/>
      <color rgb="FF5F5F5F"/>
      <name val="Calibri"/>
      <family val="2"/>
      <charset val="1"/>
    </font>
    <font>
      <sz val="10"/>
      <name val="Trebuchet MS"/>
      <family val="2"/>
      <charset val="1"/>
    </font>
    <font>
      <sz val="10"/>
      <color rgb="FF000000"/>
      <name val="Trebuchet MS"/>
      <family val="2"/>
      <charset val="1"/>
    </font>
    <font>
      <sz val="11"/>
      <color rgb="FF000000"/>
      <name val="Arial"/>
      <family val="2"/>
      <charset val="1"/>
    </font>
    <font>
      <b val="true"/>
      <sz val="10"/>
      <color rgb="FF000000"/>
      <name val="Trebuchet MS"/>
      <family val="2"/>
      <charset val="1"/>
    </font>
    <font>
      <b val="true"/>
      <sz val="10"/>
      <color rgb="FFFFFFFF"/>
      <name val="Trebuchet MS"/>
      <family val="2"/>
      <charset val="1"/>
    </font>
    <font>
      <sz val="10"/>
      <color rgb="FF000000"/>
      <name val="Arial"/>
      <family val="2"/>
      <charset val="1"/>
    </font>
    <font>
      <sz val="72"/>
      <color rgb="FF000000"/>
      <name val="Arial"/>
      <family val="2"/>
      <charset val="1"/>
    </font>
    <font>
      <u val="single"/>
      <sz val="11"/>
      <color rgb="FFFFFFFF"/>
      <name val="Trebuchet MS"/>
      <family val="2"/>
      <charset val="1"/>
    </font>
    <font>
      <b val="true"/>
      <u val="single"/>
      <sz val="13"/>
      <color rgb="FF000000"/>
      <name val="Trebuchet MS"/>
      <family val="2"/>
    </font>
    <font>
      <sz val="9"/>
      <color rgb="FF000000"/>
      <name val="Arial"/>
      <family val="2"/>
    </font>
    <font>
      <sz val="10"/>
      <color rgb="FF000000"/>
      <name val="Arial"/>
      <family val="2"/>
    </font>
    <font>
      <sz val="8.45"/>
      <color rgb="FF000000"/>
      <name val="Arial"/>
      <family val="2"/>
    </font>
    <font>
      <b val="true"/>
      <sz val="14"/>
      <color rgb="FF000000"/>
      <name val="Calibri"/>
      <family val="2"/>
      <charset val="1"/>
    </font>
    <font>
      <b val="true"/>
      <sz val="11"/>
      <color rgb="FFFFFFFF"/>
      <name val="Calibri"/>
      <family val="2"/>
      <charset val="1"/>
    </font>
    <font>
      <b val="true"/>
      <sz val="11"/>
      <color rgb="FF000000"/>
      <name val="Calibri"/>
      <family val="2"/>
      <charset val="1"/>
    </font>
    <font>
      <sz val="11"/>
      <name val="Calibri"/>
      <family val="2"/>
      <charset val="1"/>
    </font>
    <font>
      <b val="true"/>
      <sz val="11"/>
      <name val="Calibri"/>
      <family val="2"/>
      <charset val="1"/>
    </font>
    <font>
      <b val="true"/>
      <i val="true"/>
      <u val="single"/>
      <sz val="11"/>
      <name val="Calibri"/>
      <family val="2"/>
      <charset val="1"/>
    </font>
    <font>
      <sz val="11"/>
      <color rgb="FF000000"/>
      <name val="Calibri"/>
      <family val="2"/>
      <charset val="1"/>
    </font>
    <font>
      <u val="single"/>
      <sz val="11"/>
      <color rgb="FF5F5F5F"/>
      <name val="Calibri"/>
      <family val="2"/>
      <charset val="1"/>
    </font>
    <font>
      <sz val="12"/>
      <color rgb="FFFF0000"/>
      <name val="Calibri"/>
      <family val="2"/>
      <charset val="1"/>
    </font>
    <font>
      <b val="true"/>
      <sz val="12"/>
      <color rgb="FF5F5F5F"/>
      <name val="Calibri"/>
      <family val="2"/>
      <charset val="1"/>
    </font>
    <font>
      <b val="true"/>
      <sz val="12"/>
      <color rgb="FF000000"/>
      <name val="Calibri"/>
      <family val="2"/>
      <charset val="1"/>
    </font>
    <font>
      <sz val="12"/>
      <name val="Calibri"/>
      <family val="2"/>
      <charset val="1"/>
    </font>
  </fonts>
  <fills count="13">
    <fill>
      <patternFill patternType="none"/>
    </fill>
    <fill>
      <patternFill patternType="gray125"/>
    </fill>
    <fill>
      <patternFill patternType="solid">
        <fgColor rgb="FFEBEBEB"/>
        <bgColor rgb="FFF2F2F2"/>
      </patternFill>
    </fill>
    <fill>
      <patternFill patternType="solid">
        <fgColor rgb="FF969696"/>
        <bgColor rgb="FFA5A5A5"/>
      </patternFill>
    </fill>
    <fill>
      <patternFill patternType="solid">
        <fgColor rgb="FFAFD7FF"/>
        <bgColor rgb="FFCFE2F3"/>
      </patternFill>
    </fill>
    <fill>
      <patternFill patternType="solid">
        <fgColor rgb="FFFFFFFF"/>
        <bgColor rgb="FFF2F2F2"/>
      </patternFill>
    </fill>
    <fill>
      <patternFill patternType="solid">
        <fgColor rgb="FF808080"/>
        <bgColor rgb="FF969696"/>
      </patternFill>
    </fill>
    <fill>
      <patternFill patternType="solid">
        <fgColor rgb="FF000000"/>
        <bgColor rgb="FF003300"/>
      </patternFill>
    </fill>
    <fill>
      <patternFill patternType="solid">
        <fgColor rgb="FFCFE2F3"/>
        <bgColor rgb="FFDDDDDD"/>
      </patternFill>
    </fill>
    <fill>
      <patternFill patternType="solid">
        <fgColor rgb="FFA5A5A5"/>
        <bgColor rgb="FFB3B3B3"/>
      </patternFill>
    </fill>
    <fill>
      <patternFill patternType="solid">
        <fgColor rgb="FF00B0F0"/>
        <bgColor rgb="FF33CCCC"/>
      </patternFill>
    </fill>
    <fill>
      <patternFill patternType="solid">
        <fgColor rgb="FF92D050"/>
        <bgColor rgb="FFB3B3B3"/>
      </patternFill>
    </fill>
    <fill>
      <patternFill patternType="solid">
        <fgColor rgb="FFFFC000"/>
        <bgColor rgb="FFFF9900"/>
      </patternFill>
    </fill>
  </fills>
  <borders count="26">
    <border diagonalUp="false" diagonalDown="false">
      <left/>
      <right/>
      <top/>
      <bottom/>
      <diagonal/>
    </border>
    <border diagonalUp="false" diagonalDown="false">
      <left style="thin">
        <color rgb="FF333333"/>
      </left>
      <right style="thin"/>
      <top style="thin">
        <color rgb="FF333333"/>
      </top>
      <bottom style="thin">
        <color rgb="FF333333"/>
      </bottom>
      <diagonal/>
    </border>
    <border diagonalUp="false" diagonalDown="false">
      <left/>
      <right style="thin"/>
      <top style="thin">
        <color rgb="FF333333"/>
      </top>
      <bottom style="thin">
        <color rgb="FF333333"/>
      </bottom>
      <diagonal/>
    </border>
    <border diagonalUp="false" diagonalDown="false">
      <left style="thin">
        <color rgb="FF333333"/>
      </left>
      <right/>
      <top style="thin">
        <color rgb="FF333333"/>
      </top>
      <bottom/>
      <diagonal/>
    </border>
    <border diagonalUp="false" diagonalDown="false">
      <left/>
      <right/>
      <top style="thin">
        <color rgb="FF333333"/>
      </top>
      <bottom/>
      <diagonal/>
    </border>
    <border diagonalUp="false" diagonalDown="false">
      <left/>
      <right style="thin"/>
      <top style="thin">
        <color rgb="FF333333"/>
      </top>
      <bottom/>
      <diagonal/>
    </border>
    <border diagonalUp="false" diagonalDown="false">
      <left style="thin"/>
      <right style="thin"/>
      <top style="thin"/>
      <bottom style="thin"/>
      <diagonal/>
    </border>
    <border diagonalUp="false" diagonalDown="false">
      <left/>
      <right style="thin"/>
      <top/>
      <bottom style="thin">
        <color rgb="FF333333"/>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333333"/>
      </left>
      <right style="thin">
        <color rgb="FF333333"/>
      </right>
      <top/>
      <bottom style="thin">
        <color rgb="FF333333"/>
      </bottom>
      <diagonal/>
    </border>
    <border diagonalUp="false" diagonalDown="false">
      <left style="thin">
        <color rgb="FF333333"/>
      </left>
      <right/>
      <top style="thin">
        <color rgb="FF333333"/>
      </top>
      <bottom style="thin">
        <color rgb="FF333333"/>
      </bottom>
      <diagonal/>
    </border>
    <border diagonalUp="false" diagonalDown="false">
      <left/>
      <right/>
      <top style="thin">
        <color rgb="FF333333"/>
      </top>
      <bottom style="thin">
        <color rgb="FF333333"/>
      </bottom>
      <diagonal/>
    </border>
    <border diagonalUp="false" diagonalDown="false">
      <left/>
      <right style="thin">
        <color rgb="FF333333"/>
      </right>
      <top style="thin">
        <color rgb="FF333333"/>
      </top>
      <bottom style="thin">
        <color rgb="FF333333"/>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hair"/>
      <right/>
      <top/>
      <bottom/>
      <diagonal/>
    </border>
    <border diagonalUp="false" diagonalDown="false">
      <left style="hair"/>
      <right style="hair"/>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FFFFFF"/>
      </left>
      <right style="thin">
        <color rgb="FFFFFFFF"/>
      </right>
      <top style="thin">
        <color rgb="FFFFFFFF"/>
      </top>
      <bottom style="thin">
        <color rgb="FFFFFFFF"/>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16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3" borderId="3" xfId="0" applyFont="true" applyBorder="true" applyAlignment="true" applyProtection="true">
      <alignment horizontal="general" vertical="center" textRotation="0" wrapText="false" indent="0" shrinkToFit="false"/>
      <protection locked="true" hidden="false"/>
    </xf>
    <xf numFmtId="164" fontId="7" fillId="3" borderId="4" xfId="0" applyFont="true" applyBorder="true" applyAlignment="true" applyProtection="true">
      <alignment horizontal="general" vertical="center" textRotation="0" wrapText="false" indent="0" shrinkToFit="false"/>
      <protection locked="true" hidden="false"/>
    </xf>
    <xf numFmtId="164" fontId="7" fillId="3" borderId="5" xfId="0" applyFont="true" applyBorder="true" applyAlignment="true" applyProtection="true">
      <alignment horizontal="general" vertical="center" textRotation="0" wrapText="false" indent="0" shrinkToFit="false"/>
      <protection locked="true" hidden="false"/>
    </xf>
    <xf numFmtId="164" fontId="7" fillId="0" borderId="6" xfId="0" applyFont="true" applyBorder="true" applyAlignment="true" applyProtection="true">
      <alignment horizontal="left"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left" vertical="center" textRotation="0" wrapText="false" indent="0" shrinkToFit="false"/>
      <protection locked="true" hidden="false"/>
    </xf>
    <xf numFmtId="164" fontId="8" fillId="0" borderId="7" xfId="20" applyFont="false" applyBorder="true" applyAlignment="true" applyProtection="tru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8" fillId="0" borderId="1" xfId="20" applyFont="false" applyBorder="true" applyAlignment="true" applyProtection="true">
      <alignment horizontal="left"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7" fillId="0" borderId="8" xfId="0" applyFont="true" applyBorder="true" applyAlignment="true" applyProtection="true">
      <alignment horizontal="general" vertical="center" textRotation="0" wrapText="false" indent="0" shrinkToFit="false"/>
      <protection locked="true" hidden="false"/>
    </xf>
    <xf numFmtId="164" fontId="7" fillId="3" borderId="10" xfId="0" applyFont="true" applyBorder="true" applyAlignment="true" applyProtection="true">
      <alignment horizontal="general" vertical="center" textRotation="0" wrapText="false" indent="0" shrinkToFit="false"/>
      <protection locked="true" hidden="false"/>
    </xf>
    <xf numFmtId="164" fontId="7" fillId="3" borderId="11" xfId="0" applyFont="true" applyBorder="true" applyAlignment="true" applyProtection="true">
      <alignment horizontal="general" vertical="center" textRotation="0" wrapText="false" indent="0" shrinkToFit="false"/>
      <protection locked="true" hidden="false"/>
    </xf>
    <xf numFmtId="164" fontId="7" fillId="3" borderId="2" xfId="0" applyFont="true" applyBorder="true" applyAlignment="true" applyProtection="true">
      <alignment horizontal="general" vertical="center" textRotation="0" wrapText="false" indent="0" shrinkToFit="false"/>
      <protection locked="true" hidden="false"/>
    </xf>
    <xf numFmtId="164" fontId="7" fillId="0" borderId="10" xfId="0" applyFont="true" applyBorder="true" applyAlignment="true" applyProtection="true">
      <alignment horizontal="general"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general"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false" hidden="false"/>
    </xf>
    <xf numFmtId="165" fontId="10" fillId="0" borderId="2" xfId="0" applyFont="true" applyBorder="true" applyAlignment="true" applyProtection="true">
      <alignment horizontal="general" vertical="center" textRotation="0" wrapText="true" indent="0" shrinkToFit="false"/>
      <protection locked="fals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3" borderId="13"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bottom" textRotation="0" wrapText="true" indent="0" shrinkToFit="false"/>
      <protection locked="true" hidden="false"/>
    </xf>
    <xf numFmtId="164" fontId="14" fillId="0" borderId="13"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false" applyProtection="false">
      <alignment horizontal="general" vertical="bottom" textRotation="0" wrapText="false" indent="0" shrinkToFit="false"/>
      <protection locked="true" hidden="false"/>
    </xf>
    <xf numFmtId="166" fontId="15" fillId="0" borderId="1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7" fontId="10" fillId="5" borderId="0" xfId="0" applyFont="true" applyBorder="true" applyAlignment="true" applyProtection="false">
      <alignment horizontal="right" vertical="center" textRotation="0" wrapText="false" indent="1"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6" borderId="14" xfId="20" applyFont="true" applyBorder="true" applyAlignment="true" applyProtection="tru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bottom" textRotation="0" wrapText="false" indent="0" shrinkToFit="false"/>
      <protection locked="true" hidden="false"/>
    </xf>
    <xf numFmtId="164" fontId="16" fillId="6" borderId="14" xfId="20" applyFont="true" applyBorder="true" applyAlignment="true" applyProtection="true">
      <alignment horizontal="general" vertical="center" textRotation="0" wrapText="false" indent="0" shrinkToFit="false"/>
      <protection locked="true" hidden="false"/>
    </xf>
    <xf numFmtId="168" fontId="11" fillId="0" borderId="6" xfId="0" applyFont="true" applyBorder="true" applyAlignment="false" applyProtection="false">
      <alignment horizontal="general" vertical="bottom" textRotation="0" wrapText="false" indent="0" shrinkToFit="false"/>
      <protection locked="true" hidden="false"/>
    </xf>
    <xf numFmtId="168" fontId="11" fillId="0" borderId="14" xfId="0" applyFont="true" applyBorder="true" applyAlignment="false" applyProtection="false">
      <alignment horizontal="general" vertical="bottom" textRotation="0" wrapText="false" indent="0" shrinkToFit="false"/>
      <protection locked="true" hidden="false"/>
    </xf>
    <xf numFmtId="169" fontId="11" fillId="0" borderId="6"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false" indent="0" shrinkToFit="false"/>
      <protection locked="true" hidden="false"/>
    </xf>
    <xf numFmtId="171"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22" fillId="7" borderId="15" xfId="0" applyFont="true" applyBorder="true" applyAlignment="true" applyProtection="false">
      <alignment horizontal="center" vertical="center" textRotation="0" wrapText="true" indent="0" shrinkToFit="false"/>
      <protection locked="true" hidden="false"/>
    </xf>
    <xf numFmtId="171"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left" vertical="top" textRotation="0" wrapText="true" indent="0" shrinkToFit="false"/>
      <protection locked="true" hidden="false"/>
    </xf>
    <xf numFmtId="164"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center" vertical="top" textRotation="0" wrapText="true" indent="0" shrinkToFit="false"/>
      <protection locked="true" hidden="false"/>
    </xf>
    <xf numFmtId="164" fontId="22" fillId="7" borderId="17" xfId="0" applyFont="true" applyBorder="true" applyAlignment="true" applyProtection="false">
      <alignment horizontal="left" vertical="top" textRotation="0" wrapText="true" indent="0" shrinkToFit="false"/>
      <protection locked="true" hidden="false"/>
    </xf>
    <xf numFmtId="171" fontId="23" fillId="8" borderId="18" xfId="0" applyFont="true" applyBorder="true" applyAlignment="true" applyProtection="false">
      <alignment horizontal="center" vertical="center" textRotation="0" wrapText="true" indent="0" shrinkToFit="false"/>
      <protection locked="true" hidden="false"/>
    </xf>
    <xf numFmtId="171" fontId="23" fillId="8" borderId="0" xfId="0" applyFont="true" applyBorder="true" applyAlignment="true" applyProtection="false">
      <alignment horizontal="center" vertical="center" textRotation="0" wrapText="true" indent="0" shrinkToFit="false"/>
      <protection locked="true" hidden="false"/>
    </xf>
    <xf numFmtId="164" fontId="23" fillId="8" borderId="0" xfId="0" applyFont="true" applyBorder="true" applyAlignment="true" applyProtection="false">
      <alignment horizontal="left" vertical="top" textRotation="0" wrapText="true" indent="0" shrinkToFit="false"/>
      <protection locked="true" hidden="false"/>
    </xf>
    <xf numFmtId="164" fontId="23" fillId="8" borderId="0" xfId="0" applyFont="true" applyBorder="true" applyAlignment="true" applyProtection="false">
      <alignment horizontal="center" vertical="center" textRotation="0" wrapText="true" indent="0" shrinkToFit="false"/>
      <protection locked="true" hidden="false"/>
    </xf>
    <xf numFmtId="164" fontId="23" fillId="8" borderId="19" xfId="0" applyFont="true" applyBorder="true" applyAlignment="true" applyProtection="false">
      <alignment horizontal="left" vertical="top" textRotation="0" wrapText="true" indent="0" shrinkToFit="false"/>
      <protection locked="true" hidden="false"/>
    </xf>
    <xf numFmtId="164" fontId="23"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center" textRotation="0" wrapText="true" indent="0" shrinkToFit="false"/>
      <protection locked="true" hidden="false"/>
    </xf>
    <xf numFmtId="171" fontId="22" fillId="9" borderId="0" xfId="0" applyFont="true" applyBorder="true" applyAlignment="true" applyProtection="false">
      <alignment horizontal="center" vertical="center" textRotation="0" wrapText="true" indent="0" shrinkToFit="false"/>
      <protection locked="true" hidden="false"/>
    </xf>
    <xf numFmtId="164" fontId="24" fillId="0" borderId="0" xfId="21" applyFont="true" applyBorder="true" applyAlignment="true" applyProtection="false">
      <alignment horizontal="left" vertical="top" textRotation="0" wrapText="true" indent="0" shrinkToFit="false"/>
      <protection locked="true" hidden="false"/>
    </xf>
    <xf numFmtId="164" fontId="24" fillId="10" borderId="0" xfId="0" applyFont="true" applyBorder="true" applyAlignment="true" applyProtection="false">
      <alignment horizontal="center" vertical="center" textRotation="0" wrapText="true" indent="0" shrinkToFit="false"/>
      <protection locked="true" hidden="false"/>
    </xf>
    <xf numFmtId="164" fontId="24" fillId="11" borderId="0"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8" fillId="0" borderId="0" xfId="20" applyFont="false" applyBorder="true" applyAlignment="true" applyProtection="true">
      <alignment horizontal="left" vertical="bottom" textRotation="0" wrapText="false" indent="0" shrinkToFit="false"/>
      <protection locked="true" hidden="false"/>
    </xf>
    <xf numFmtId="164" fontId="24" fillId="0" borderId="20" xfId="0" applyFont="true" applyBorder="true" applyAlignment="true" applyProtection="false">
      <alignment horizontal="general" vertical="center" textRotation="0" wrapText="true" indent="0" shrinkToFit="false"/>
      <protection locked="true" hidden="false"/>
    </xf>
    <xf numFmtId="164" fontId="24" fillId="0" borderId="21" xfId="0" applyFont="true" applyBorder="true" applyAlignment="true" applyProtection="false">
      <alignment horizontal="left" vertical="top" textRotation="0" wrapText="true" indent="0" shrinkToFit="false"/>
      <protection locked="true" hidden="false"/>
    </xf>
    <xf numFmtId="164" fontId="8" fillId="0" borderId="18" xfId="20" applyFont="false" applyBorder="true" applyAlignment="true" applyProtection="true">
      <alignment horizontal="left" vertical="bottom" textRotation="0" wrapText="false" indent="0" shrinkToFit="false"/>
      <protection locked="true" hidden="false"/>
    </xf>
    <xf numFmtId="164" fontId="8" fillId="0" borderId="21" xfId="20" applyFont="false" applyBorder="true" applyAlignment="true" applyProtection="true">
      <alignment horizontal="general" vertical="center" textRotation="0" wrapText="true" indent="0" shrinkToFit="false"/>
      <protection locked="true" hidden="false"/>
    </xf>
    <xf numFmtId="164" fontId="24" fillId="0" borderId="2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0" borderId="20" xfId="20" applyFont="false" applyBorder="true" applyAlignment="true" applyProtection="true">
      <alignment horizontal="left" vertical="bottom" textRotation="0" wrapText="false" indent="0" shrinkToFit="false"/>
      <protection locked="true" hidden="false"/>
    </xf>
    <xf numFmtId="171" fontId="25" fillId="8" borderId="18" xfId="0" applyFont="true" applyBorder="true" applyAlignment="true" applyProtection="false">
      <alignment horizontal="center" vertical="center" textRotation="0" wrapText="true" indent="0" shrinkToFit="false"/>
      <protection locked="true" hidden="false"/>
    </xf>
    <xf numFmtId="171"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left" vertical="top" textRotation="0" wrapText="true" indent="0" shrinkToFit="false"/>
      <protection locked="true" hidden="false"/>
    </xf>
    <xf numFmtId="164" fontId="25" fillId="8" borderId="0"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general" vertical="center" textRotation="0" wrapText="true" indent="0" shrinkToFit="false"/>
      <protection locked="true" hidden="false"/>
    </xf>
    <xf numFmtId="164" fontId="25" fillId="8" borderId="21" xfId="0" applyFont="true" applyBorder="true" applyAlignment="true" applyProtection="false">
      <alignment horizontal="general" vertical="center" textRotation="0" wrapText="true" indent="0" shrinkToFit="false"/>
      <protection locked="true" hidden="false"/>
    </xf>
    <xf numFmtId="164" fontId="25"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bottom" textRotation="0" wrapText="true" indent="0" shrinkToFit="false"/>
      <protection locked="true" hidden="false"/>
    </xf>
    <xf numFmtId="171" fontId="22" fillId="9" borderId="0" xfId="0" applyFont="true" applyBorder="true" applyAlignment="true" applyProtection="false">
      <alignment horizontal="center"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26" fillId="0" borderId="21"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center" textRotation="0" wrapText="false" indent="0" shrinkToFit="false"/>
      <protection locked="true" hidden="false"/>
    </xf>
    <xf numFmtId="164" fontId="25" fillId="8" borderId="21"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8" fillId="0" borderId="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top" textRotation="0" wrapText="true" indent="0" shrinkToFit="false"/>
      <protection locked="true" hidden="false"/>
    </xf>
    <xf numFmtId="164" fontId="8" fillId="0" borderId="0" xfId="20" applyFont="false" applyBorder="true" applyAlignment="true" applyProtection="true">
      <alignment horizontal="left" vertical="bottom" textRotation="0" wrapText="true" indent="0" shrinkToFit="false"/>
      <protection locked="true" hidden="false"/>
    </xf>
    <xf numFmtId="164" fontId="8" fillId="0" borderId="20" xfId="20" applyFont="false" applyBorder="true" applyAlignment="true" applyProtection="true">
      <alignment horizontal="general" vertical="center" textRotation="0" wrapText="true" indent="0" shrinkToFit="false"/>
      <protection locked="true" hidden="false"/>
    </xf>
    <xf numFmtId="164" fontId="8" fillId="0" borderId="21" xfId="20" applyFont="false" applyBorder="true" applyAlignment="true" applyProtection="true">
      <alignment horizontal="left" vertical="top" textRotation="0" wrapText="true" indent="0" shrinkToFit="false"/>
      <protection locked="true" hidden="false"/>
    </xf>
    <xf numFmtId="164" fontId="29" fillId="0" borderId="21" xfId="0" applyFont="true" applyBorder="true" applyAlignment="true" applyProtection="false">
      <alignment horizontal="left" vertical="top" textRotation="0" wrapText="tru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71" fontId="22" fillId="7" borderId="22" xfId="0" applyFont="true" applyBorder="true" applyAlignment="true" applyProtection="false">
      <alignment horizontal="center" vertical="center" textRotation="0" wrapText="true" indent="0" shrinkToFit="false"/>
      <protection locked="true" hidden="false"/>
    </xf>
    <xf numFmtId="171" fontId="22" fillId="7" borderId="23" xfId="0" applyFont="true" applyBorder="true" applyAlignment="true" applyProtection="false">
      <alignment horizontal="center" vertical="center" textRotation="0" wrapText="true" indent="0" shrinkToFit="false"/>
      <protection locked="true" hidden="false"/>
    </xf>
    <xf numFmtId="164" fontId="22" fillId="7" borderId="23" xfId="0" applyFont="true" applyBorder="true" applyAlignment="true" applyProtection="false">
      <alignment horizontal="left" vertical="top" textRotation="0" wrapText="true" indent="0" shrinkToFit="false"/>
      <protection locked="true" hidden="false"/>
    </xf>
    <xf numFmtId="164" fontId="22" fillId="7" borderId="23"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left" vertical="top" textRotation="0" wrapText="true" indent="0" shrinkToFit="false"/>
      <protection locked="true" hidden="false"/>
    </xf>
    <xf numFmtId="171"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1" fontId="23" fillId="0" borderId="0" xfId="0" applyFont="true" applyBorder="true" applyAlignment="true" applyProtection="false">
      <alignment horizontal="left" vertical="bottom" textRotation="0" wrapText="false" indent="0" shrinkToFit="false"/>
      <protection locked="true" hidden="false"/>
    </xf>
    <xf numFmtId="171" fontId="22" fillId="7" borderId="25" xfId="0" applyFont="true" applyBorder="true" applyAlignment="true" applyProtection="false">
      <alignment horizontal="general" vertical="center" textRotation="0" wrapText="true" indent="0" shrinkToFit="false"/>
      <protection locked="true" hidden="false"/>
    </xf>
    <xf numFmtId="164" fontId="22" fillId="7" borderId="25" xfId="0" applyFont="true" applyBorder="true" applyAlignment="true" applyProtection="false">
      <alignment horizontal="left" vertical="top" textRotation="0" wrapText="true" indent="0" shrinkToFit="false"/>
      <protection locked="true" hidden="false"/>
    </xf>
    <xf numFmtId="171" fontId="27"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left" vertical="top" textRotation="0" wrapText="true" indent="0" shrinkToFit="false"/>
      <protection locked="true" hidden="false"/>
    </xf>
    <xf numFmtId="171" fontId="21" fillId="0" borderId="0"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center" vertical="center" textRotation="0" wrapText="true" indent="0" shrinkToFit="false"/>
      <protection locked="true" hidden="false"/>
    </xf>
    <xf numFmtId="164" fontId="25" fillId="8" borderId="20" xfId="0" applyFont="true" applyBorder="true" applyAlignment="true" applyProtection="false">
      <alignment horizontal="general" vertical="center" textRotation="0" wrapText="true" indent="0" shrinkToFit="false"/>
      <protection locked="true" hidden="false"/>
    </xf>
    <xf numFmtId="164" fontId="24" fillId="12" borderId="0" xfId="0" applyFont="true" applyBorder="true" applyAlignment="true" applyProtection="false">
      <alignment horizontal="center" vertical="center" textRotation="0" wrapText="true" indent="0" shrinkToFit="false"/>
      <protection locked="true" hidden="false"/>
    </xf>
    <xf numFmtId="168" fontId="8" fillId="0" borderId="20" xfId="20" applyFont="false" applyBorder="true" applyAlignment="true" applyProtection="true">
      <alignment horizontal="general" vertical="bottom" textRotation="0" wrapText="false" indent="0" shrinkToFit="false"/>
      <protection locked="true" hidden="false"/>
    </xf>
    <xf numFmtId="164" fontId="24" fillId="0" borderId="20" xfId="0" applyFont="true" applyBorder="true" applyAlignment="true" applyProtection="false">
      <alignment horizontal="left" vertical="top" textRotation="0" wrapText="true" indent="0" shrinkToFit="false"/>
      <protection locked="true" hidden="false"/>
    </xf>
    <xf numFmtId="168" fontId="8" fillId="0" borderId="20" xfId="20" applyFont="false" applyBorder="true" applyAlignment="true" applyProtection="true">
      <alignment horizontal="general" vertical="bottom" textRotation="0" wrapText="true" indent="0" shrinkToFit="false"/>
      <protection locked="true" hidden="false"/>
    </xf>
    <xf numFmtId="164" fontId="30" fillId="5" borderId="20" xfId="20" applyFont="true" applyBorder="true" applyAlignment="true" applyProtection="true">
      <alignment horizontal="center" vertical="bottom" textRotation="0" wrapText="true" indent="0" shrinkToFit="false"/>
      <protection locked="true" hidden="false"/>
    </xf>
    <xf numFmtId="164" fontId="30" fillId="0" borderId="20" xfId="20" applyFont="true" applyBorder="true" applyAlignment="true" applyProtection="true">
      <alignment horizontal="center" vertical="bottom"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8" fontId="8" fillId="0" borderId="0" xfId="20" applyFont="false" applyBorder="true" applyAlignment="true" applyProtection="true">
      <alignment horizontal="left" vertical="bottom" textRotation="0" wrapText="false" indent="0" shrinkToFit="false"/>
      <protection locked="true" hidden="false"/>
    </xf>
    <xf numFmtId="168" fontId="8" fillId="0" borderId="0" xfId="20" applyFont="false" applyBorder="true" applyAlignment="true" applyProtection="true">
      <alignment horizontal="general" vertical="bottom" textRotation="0" wrapText="fals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8" fontId="8" fillId="0" borderId="0" xfId="20" applyFont="fals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8" fillId="0" borderId="19" xfId="20" applyFont="false" applyBorder="true" applyAlignment="true" applyProtection="true">
      <alignment horizontal="general" vertical="bottom" textRotation="0" wrapText="false" indent="0" shrinkToFit="false"/>
      <protection locked="true" hidden="false"/>
    </xf>
    <xf numFmtId="164" fontId="28" fillId="0" borderId="19" xfId="20" applyFont="true" applyBorder="true" applyAlignment="true" applyProtection="true">
      <alignment horizontal="left" vertical="bottom"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4" fontId="22" fillId="7" borderId="21" xfId="0" applyFont="true" applyBorder="true" applyAlignment="true" applyProtection="false">
      <alignment horizontal="center" vertical="center" textRotation="0" wrapText="true" indent="0" shrinkToFit="false"/>
      <protection locked="true" hidden="false"/>
    </xf>
    <xf numFmtId="164" fontId="22" fillId="7" borderId="21" xfId="0" applyFont="true" applyBorder="true" applyAlignment="true" applyProtection="false">
      <alignment horizontal="left" vertical="top" textRotation="0" wrapText="tru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31" fillId="0" borderId="20" xfId="0" applyFont="true" applyBorder="true" applyAlignment="true" applyProtection="false">
      <alignment horizontal="center"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true" indent="0" shrinkToFit="false"/>
      <protection locked="true" hidden="false"/>
    </xf>
    <xf numFmtId="164" fontId="31" fillId="0" borderId="23" xfId="0" applyFont="true" applyBorder="true" applyAlignment="true" applyProtection="false">
      <alignment horizontal="left" vertical="bottom" textRotation="0" wrapText="false" indent="0" shrinkToFit="false"/>
      <protection locked="true" hidden="false"/>
    </xf>
    <xf numFmtId="164" fontId="31" fillId="0" borderId="0" xfId="0" applyFont="true" applyBorder="true" applyAlignment="true" applyProtection="false">
      <alignment horizontal="left" vertical="bottom" textRotation="0" wrapText="false" indent="0" shrinkToFit="false"/>
      <protection locked="true" hidden="false"/>
    </xf>
    <xf numFmtId="164" fontId="31"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72"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center" vertical="bottom" textRotation="0" wrapText="false" indent="0" shrinkToFit="false"/>
      <protection locked="true" hidden="false"/>
    </xf>
    <xf numFmtId="164" fontId="32" fillId="0" borderId="6"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32"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31" fillId="0" borderId="6" xfId="0" applyFont="true" applyBorder="true" applyAlignment="true" applyProtection="false">
      <alignment horizontal="general" vertical="bottom" textRotation="0" wrapText="true" indent="0" shrinkToFit="false"/>
      <protection locked="true" hidden="false"/>
    </xf>
    <xf numFmtId="172" fontId="32" fillId="0" borderId="6" xfId="0" applyFont="true" applyBorder="tru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14">
    <dxf>
      <fill>
        <patternFill>
          <bgColor rgb="FFF2F2F2"/>
        </patternFill>
      </fill>
    </dxf>
    <dxf>
      <fill>
        <patternFill>
          <bgColor rgb="FFF2F2F2"/>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A5A5A5"/>
      <rgbColor rgb="FF993366"/>
      <rgbColor rgb="FFF2F2F2"/>
      <rgbColor rgb="FFEBEBEB"/>
      <rgbColor rgb="FF660066"/>
      <rgbColor rgb="FFFF8080"/>
      <rgbColor rgb="FF0066CC"/>
      <rgbColor rgb="FFCFE2F3"/>
      <rgbColor rgb="FF000080"/>
      <rgbColor rgb="FFFF00FF"/>
      <rgbColor rgb="FFFFFF00"/>
      <rgbColor rgb="FF00FFFF"/>
      <rgbColor rgb="FF800080"/>
      <rgbColor rgb="FF800000"/>
      <rgbColor rgb="FF008080"/>
      <rgbColor rgb="FF0000FF"/>
      <rgbColor rgb="FF00B0F0"/>
      <rgbColor rgb="FFCCFFFF"/>
      <rgbColor rgb="FFDDDDDD"/>
      <rgbColor rgb="FFFFFF99"/>
      <rgbColor rgb="FFAFD7FF"/>
      <rgbColor rgb="FFFF99CC"/>
      <rgbColor rgb="FFB3B3B3"/>
      <rgbColor rgb="FFFFC7CE"/>
      <rgbColor rgb="FF3366FF"/>
      <rgbColor rgb="FF33CCCC"/>
      <rgbColor rgb="FF92D050"/>
      <rgbColor rgb="FFFFC000"/>
      <rgbColor rgb="FFFF9900"/>
      <rgbColor rgb="FFFF6600"/>
      <rgbColor rgb="FF5F5F5F"/>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соотвествия 
MASVS - Android</a:t>
            </a:r>
          </a:p>
        </c:rich>
      </c:tx>
      <c:layout>
        <c:manualLayout>
          <c:xMode val="edge"/>
          <c:yMode val="edge"/>
          <c:x val="0.717146540610228"/>
          <c:y val="0.0138940211366492"/>
        </c:manualLayout>
      </c:layout>
      <c:overlay val="0"/>
      <c:spPr>
        <a:noFill/>
        <a:ln w="25560">
          <a:noFill/>
        </a:ln>
      </c:spPr>
    </c:title>
    <c:autoTitleDeleted val="0"/>
    <c:plotArea>
      <c:layout>
        <c:manualLayout>
          <c:layoutTarget val="inner"/>
          <c:xMode val="edge"/>
          <c:yMode val="edge"/>
          <c:x val="0.221443919209282"/>
          <c:y val="0.112630256448156"/>
          <c:w val="0.502449505801461"/>
          <c:h val="0.840736087502771"/>
        </c:manualLayout>
      </c:layout>
      <c:radarChart>
        <c:radarStyle val="filled"/>
        <c:varyColors val="0"/>
        <c:ser>
          <c:idx val="0"/>
          <c:order val="0"/>
          <c:tx>
            <c:strRef>
              <c:f>"Android"</c:f>
              <c:strCache>
                <c:ptCount val="1"/>
                <c:pt idx="0">
                  <c:v>Android</c:v>
                </c:pt>
              </c:strCache>
            </c:strRef>
          </c:tx>
          <c:spPr>
            <a:solidFill>
              <a:srgbClr val="c0c0c0"/>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ИБ'!$G$43:$G$50</c:f>
              <c:numCache>
                <c:formatCode>General</c:formatCode>
                <c:ptCount val="8"/>
                <c:pt idx="0">
                  <c:v>0</c:v>
                </c:pt>
                <c:pt idx="1">
                  <c:v>0</c:v>
                </c:pt>
                <c:pt idx="2">
                  <c:v>0</c:v>
                </c:pt>
                <c:pt idx="3">
                  <c:v>0</c:v>
                </c:pt>
                <c:pt idx="4">
                  <c:v>0</c:v>
                </c:pt>
                <c:pt idx="5">
                  <c:v>0</c:v>
                </c:pt>
                <c:pt idx="6">
                  <c:v>0</c:v>
                </c:pt>
                <c:pt idx="7">
                  <c:v>0</c:v>
                </c:pt>
              </c:numCache>
            </c:numRef>
          </c:val>
        </c:ser>
        <c:axId val="31503159"/>
        <c:axId val="31365405"/>
      </c:radarChart>
      <c:catAx>
        <c:axId val="31503159"/>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31365405"/>
        <c:crosses val="autoZero"/>
        <c:auto val="1"/>
        <c:lblAlgn val="ctr"/>
        <c:lblOffset val="100"/>
        <c:noMultiLvlLbl val="0"/>
      </c:catAx>
      <c:valAx>
        <c:axId val="31365405"/>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31503159"/>
        <c:crosses val="autoZero"/>
        <c:crossBetween val="midCat"/>
      </c:valAx>
      <c:spPr>
        <a:noFill/>
        <a:ln w="25560">
          <a:noFill/>
        </a:ln>
      </c:spPr>
    </c:plotArea>
    <c:legend>
      <c:legendPos val="r"/>
      <c:layout>
        <c:manualLayout>
          <c:xMode val="edge"/>
          <c:yMode val="edge"/>
          <c:x val="0.823556052033288"/>
          <c:y val="0.0867538179349203"/>
          <c:w val="0.152253978633294"/>
          <c:h val="0.0463334650736225"/>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соответствия 
MASVS - iOS</a:t>
            </a:r>
          </a:p>
        </c:rich>
      </c:tx>
      <c:layout>
        <c:manualLayout>
          <c:xMode val="edge"/>
          <c:yMode val="edge"/>
          <c:x val="0.648866193526052"/>
          <c:y val="0.0247349823321555"/>
        </c:manualLayout>
      </c:layout>
      <c:overlay val="0"/>
      <c:spPr>
        <a:noFill/>
        <a:ln w="25560">
          <a:noFill/>
        </a:ln>
      </c:spPr>
    </c:title>
    <c:autoTitleDeleted val="0"/>
    <c:plotArea>
      <c:layout>
        <c:manualLayout>
          <c:layoutTarget val="inner"/>
          <c:xMode val="edge"/>
          <c:yMode val="edge"/>
          <c:x val="0.221438462870002"/>
          <c:y val="0.112632508833922"/>
          <c:w val="0.502423403150424"/>
          <c:h val="0.840768551236749"/>
        </c:manualLayout>
      </c:layout>
      <c:radarChart>
        <c:radarStyle val="filled"/>
        <c:varyColors val="0"/>
        <c:ser>
          <c:idx val="0"/>
          <c:order val="0"/>
          <c:tx>
            <c:strRef>
              <c:f>"IOS"</c:f>
              <c:strCache>
                <c:ptCount val="1"/>
                <c:pt idx="0">
                  <c:v>IOS</c:v>
                </c:pt>
              </c:strCache>
            </c:strRef>
          </c:tx>
          <c:spPr>
            <a:solidFill>
              <a:srgbClr val="dddddd"/>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ИБ'!$K$43:$K$50</c:f>
              <c:numCache>
                <c:formatCode>General</c:formatCode>
                <c:ptCount val="8"/>
                <c:pt idx="0">
                  <c:v>0</c:v>
                </c:pt>
                <c:pt idx="1">
                  <c:v>0</c:v>
                </c:pt>
                <c:pt idx="2">
                  <c:v>0</c:v>
                </c:pt>
                <c:pt idx="3">
                  <c:v>0</c:v>
                </c:pt>
                <c:pt idx="4">
                  <c:v>0</c:v>
                </c:pt>
                <c:pt idx="5">
                  <c:v>0</c:v>
                </c:pt>
                <c:pt idx="6">
                  <c:v>0</c:v>
                </c:pt>
                <c:pt idx="7">
                  <c:v>0</c:v>
                </c:pt>
              </c:numCache>
            </c:numRef>
          </c:val>
        </c:ser>
        <c:axId val="56071732"/>
        <c:axId val="85545846"/>
      </c:radarChart>
      <c:catAx>
        <c:axId val="56071732"/>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85545846"/>
        <c:crosses val="autoZero"/>
        <c:auto val="1"/>
        <c:lblAlgn val="ctr"/>
        <c:lblOffset val="100"/>
        <c:noMultiLvlLbl val="0"/>
      </c:catAx>
      <c:valAx>
        <c:axId val="85545846"/>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56071732"/>
        <c:crosses val="autoZero"/>
        <c:crossBetween val="midCat"/>
      </c:valAx>
      <c:spPr>
        <a:noFill/>
        <a:ln w="25560">
          <a:noFill/>
        </a:ln>
      </c:spPr>
    </c:plotArea>
    <c:legend>
      <c:legendPos val="r"/>
      <c:layout>
        <c:manualLayout>
          <c:xMode val="edge"/>
          <c:yMode val="edge"/>
          <c:x val="0.823556052033288"/>
          <c:y val="0.0867538179349203"/>
          <c:w val="0.044674738528106"/>
          <c:h val="0.0390752020396546"/>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6.png"/>
</Relationships>
</file>

<file path=xl/drawings/_rels/drawing2.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5943600</xdr:colOff>
      <xdr:row>1</xdr:row>
      <xdr:rowOff>120240</xdr:rowOff>
    </xdr:from>
    <xdr:to>
      <xdr:col>3</xdr:col>
      <xdr:colOff>6612480</xdr:colOff>
      <xdr:row>5</xdr:row>
      <xdr:rowOff>41040</xdr:rowOff>
    </xdr:to>
    <xdr:pic>
      <xdr:nvPicPr>
        <xdr:cNvPr id="0" name="Picture 1" descr=""/>
        <xdr:cNvPicPr/>
      </xdr:nvPicPr>
      <xdr:blipFill>
        <a:blip r:embed="rId1"/>
        <a:stretch/>
      </xdr:blipFill>
      <xdr:spPr>
        <a:xfrm>
          <a:off x="8133480" y="221040"/>
          <a:ext cx="668880" cy="7131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274320</xdr:colOff>
      <xdr:row>11</xdr:row>
      <xdr:rowOff>55080</xdr:rowOff>
    </xdr:from>
    <xdr:to>
      <xdr:col>9</xdr:col>
      <xdr:colOff>76680</xdr:colOff>
      <xdr:row>38</xdr:row>
      <xdr:rowOff>66240</xdr:rowOff>
    </xdr:to>
    <xdr:graphicFrame>
      <xdr:nvGraphicFramePr>
        <xdr:cNvPr id="1" name="Graphique 1"/>
        <xdr:cNvGraphicFramePr/>
      </xdr:nvGraphicFramePr>
      <xdr:xfrm>
        <a:off x="413280" y="3249720"/>
        <a:ext cx="8376840" cy="487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175680</xdr:colOff>
      <xdr:row>11</xdr:row>
      <xdr:rowOff>65520</xdr:rowOff>
    </xdr:from>
    <xdr:to>
      <xdr:col>24</xdr:col>
      <xdr:colOff>149040</xdr:colOff>
      <xdr:row>38</xdr:row>
      <xdr:rowOff>95760</xdr:rowOff>
    </xdr:to>
    <xdr:graphicFrame>
      <xdr:nvGraphicFramePr>
        <xdr:cNvPr id="2" name="Graphique 1"/>
        <xdr:cNvGraphicFramePr/>
      </xdr:nvGraphicFramePr>
      <xdr:xfrm>
        <a:off x="10933200" y="3260160"/>
        <a:ext cx="8318520" cy="488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1:D5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B15" activeCellId="0" sqref="B15"/>
    </sheetView>
  </sheetViews>
  <sheetFormatPr defaultColWidth="8.7890625" defaultRowHeight="15.6" zeroHeight="false" outlineLevelRow="0" outlineLevelCol="0"/>
  <cols>
    <col collapsed="false" customWidth="true" hidden="false" outlineLevel="0" max="1" min="1" style="0" width="2.3"/>
    <col collapsed="false" customWidth="true" hidden="false" outlineLevel="0" max="3" min="3" style="0" width="17.2"/>
    <col collapsed="false" customWidth="true" hidden="false" outlineLevel="0" max="4" min="4" style="0" width="92.5"/>
  </cols>
  <sheetData>
    <row r="1" customFormat="false" ht="7.95" hidden="false" customHeight="true" outlineLevel="0" collapsed="false"/>
    <row r="2" customFormat="false" ht="15.6" hidden="false" customHeight="true" outlineLevel="0" collapsed="false">
      <c r="B2" s="1" t="s">
        <v>0</v>
      </c>
      <c r="C2" s="1"/>
      <c r="D2" s="1"/>
    </row>
    <row r="3" customFormat="false" ht="15.6" hidden="false" customHeight="false" outlineLevel="0" collapsed="false">
      <c r="B3" s="1"/>
      <c r="C3" s="1"/>
      <c r="D3" s="1"/>
    </row>
    <row r="4" customFormat="false" ht="15.6" hidden="false" customHeight="false" outlineLevel="0" collapsed="false">
      <c r="B4" s="1"/>
      <c r="C4" s="1"/>
      <c r="D4" s="1"/>
    </row>
    <row r="5" customFormat="false" ht="15.6" hidden="false" customHeight="false" outlineLevel="0" collapsed="false">
      <c r="B5" s="1"/>
      <c r="C5" s="1"/>
      <c r="D5" s="1"/>
    </row>
    <row r="6" customFormat="false" ht="15.6" hidden="false" customHeight="false" outlineLevel="0" collapsed="false">
      <c r="B6" s="1"/>
      <c r="C6" s="1"/>
      <c r="D6" s="1"/>
    </row>
    <row r="7" customFormat="false" ht="15.6" hidden="false" customHeight="false" outlineLevel="0" collapsed="false">
      <c r="B7" s="1"/>
      <c r="C7" s="1"/>
      <c r="D7" s="1"/>
    </row>
    <row r="8" customFormat="false" ht="15.6" hidden="true" customHeight="false" outlineLevel="0" collapsed="false">
      <c r="B8" s="1"/>
      <c r="C8" s="1"/>
      <c r="D8" s="1"/>
    </row>
    <row r="9" customFormat="false" ht="16.2" hidden="false" customHeight="false" outlineLevel="0" collapsed="false">
      <c r="B9" s="2"/>
      <c r="C9" s="2"/>
      <c r="D9" s="2"/>
    </row>
    <row r="10" customFormat="false" ht="15.6" hidden="false" customHeight="false" outlineLevel="0" collapsed="false">
      <c r="B10" s="3" t="s">
        <v>1</v>
      </c>
      <c r="C10" s="4"/>
      <c r="D10" s="5"/>
    </row>
    <row r="11" customFormat="false" ht="15" hidden="false" customHeight="false" outlineLevel="0" collapsed="false">
      <c r="B11" s="6" t="s">
        <v>2</v>
      </c>
      <c r="C11" s="6"/>
      <c r="D11" s="7" t="s">
        <v>3</v>
      </c>
    </row>
    <row r="12" customFormat="false" ht="15.6" hidden="false" customHeight="false" outlineLevel="0" collapsed="false">
      <c r="B12" s="8" t="s">
        <v>4</v>
      </c>
      <c r="C12" s="8"/>
      <c r="D12" s="9" t="str">
        <f aca="false">HYPERLINK(CONCATENATE( "https://github.com/OWASP/owasp-masvs/blob/", MASVS_VERSION, "/Document/"))</f>
        <v>https://github.com/OWASP/owasp-masvs/blob/1.1.4/Document/</v>
      </c>
    </row>
    <row r="13" customFormat="false" ht="15.6" hidden="false" customHeight="false" outlineLevel="0" collapsed="false">
      <c r="B13" s="10" t="s">
        <v>5</v>
      </c>
      <c r="C13" s="10"/>
      <c r="D13" s="11" t="s">
        <v>6</v>
      </c>
    </row>
    <row r="14" customFormat="false" ht="15" hidden="false" customHeight="false" outlineLevel="0" collapsed="false">
      <c r="B14" s="8" t="s">
        <v>7</v>
      </c>
      <c r="C14" s="8"/>
      <c r="D14" s="12" t="str">
        <f aca="false">HYPERLINK(CONCATENATE( "https://github.com/OWASP/owasp-mstg/blob/", MSTG_VERSION, "/Document/"))</f>
        <v>https://github.com/OWASP/owasp-mstg/blob/1.1.3/Document/</v>
      </c>
    </row>
    <row r="15" customFormat="false" ht="31.95" hidden="false" customHeight="true" outlineLevel="0" collapsed="false">
      <c r="B15" s="13" t="s">
        <v>8</v>
      </c>
      <c r="C15" s="13"/>
      <c r="D15" s="13"/>
    </row>
    <row r="16" customFormat="false" ht="15.6" hidden="false" customHeight="false" outlineLevel="0" collapsed="false">
      <c r="B16" s="14" t="s">
        <v>9</v>
      </c>
      <c r="C16" s="14"/>
      <c r="D16" s="11"/>
    </row>
    <row r="17" customFormat="false" ht="15.6" hidden="false" customHeight="false" outlineLevel="0" collapsed="false">
      <c r="B17" s="8" t="s">
        <v>10</v>
      </c>
      <c r="C17" s="8"/>
      <c r="D17" s="11"/>
    </row>
    <row r="18" customFormat="false" ht="15.6" hidden="false" customHeight="false" outlineLevel="0" collapsed="false">
      <c r="B18" s="14" t="s">
        <v>11</v>
      </c>
      <c r="C18" s="14"/>
      <c r="D18" s="11"/>
    </row>
    <row r="19" customFormat="false" ht="15.6" hidden="false" customHeight="false" outlineLevel="0" collapsed="false">
      <c r="B19" s="14" t="s">
        <v>12</v>
      </c>
      <c r="C19" s="14"/>
      <c r="D19" s="11"/>
    </row>
    <row r="20" customFormat="false" ht="15.6" hidden="false" customHeight="false" outlineLevel="0" collapsed="false">
      <c r="B20" s="14" t="s">
        <v>13</v>
      </c>
      <c r="C20" s="14"/>
      <c r="D20" s="11"/>
    </row>
    <row r="21" customFormat="false" ht="15" hidden="false" customHeight="false" outlineLevel="0" collapsed="false">
      <c r="B21" s="14" t="s">
        <v>14</v>
      </c>
      <c r="C21" s="14"/>
      <c r="D21" s="11" t="s">
        <v>15</v>
      </c>
    </row>
    <row r="22" customFormat="false" ht="70.5" hidden="false" customHeight="true" outlineLevel="0" collapsed="false">
      <c r="B22" s="14" t="s">
        <v>16</v>
      </c>
      <c r="C22" s="14"/>
      <c r="D22" s="11" t="s">
        <v>17</v>
      </c>
    </row>
    <row r="23" customFormat="false" ht="16.2" hidden="false" customHeight="false" outlineLevel="0" collapsed="false">
      <c r="B23" s="2"/>
      <c r="C23" s="2"/>
      <c r="D23" s="2"/>
    </row>
    <row r="24" customFormat="false" ht="15.6" hidden="false" customHeight="false" outlineLevel="0" collapsed="false">
      <c r="B24" s="15" t="s">
        <v>18</v>
      </c>
      <c r="C24" s="16"/>
      <c r="D24" s="17"/>
    </row>
    <row r="25" customFormat="false" ht="15.6" hidden="false" customHeight="false" outlineLevel="0" collapsed="false">
      <c r="B25" s="18" t="s">
        <v>19</v>
      </c>
      <c r="C25" s="19"/>
      <c r="D25" s="11"/>
    </row>
    <row r="26" customFormat="false" ht="15.6" hidden="false" customHeight="false" outlineLevel="0" collapsed="false">
      <c r="B26" s="14" t="s">
        <v>20</v>
      </c>
      <c r="C26" s="14"/>
      <c r="D26" s="11"/>
    </row>
    <row r="27" customFormat="false" ht="15.6" hidden="false" customHeight="false" outlineLevel="0" collapsed="false">
      <c r="B27" s="14" t="s">
        <v>21</v>
      </c>
      <c r="C27" s="14"/>
      <c r="D27" s="11"/>
    </row>
    <row r="28" customFormat="false" ht="15.6" hidden="false" customHeight="false" outlineLevel="0" collapsed="false">
      <c r="B28" s="14" t="s">
        <v>22</v>
      </c>
      <c r="C28" s="14"/>
      <c r="D28" s="11"/>
    </row>
    <row r="29" customFormat="false" ht="66" hidden="false" customHeight="true" outlineLevel="0" collapsed="false">
      <c r="B29" s="20" t="s">
        <v>23</v>
      </c>
      <c r="C29" s="20"/>
      <c r="D29" s="11"/>
    </row>
    <row r="30" customFormat="false" ht="16.2" hidden="false" customHeight="false" outlineLevel="0" collapsed="false">
      <c r="B30" s="2"/>
      <c r="C30" s="2"/>
      <c r="D30" s="2"/>
    </row>
    <row r="31" customFormat="false" ht="15" hidden="false" customHeight="false" outlineLevel="0" collapsed="false">
      <c r="B31" s="15" t="s">
        <v>24</v>
      </c>
      <c r="C31" s="16"/>
      <c r="D31" s="17"/>
    </row>
    <row r="32" customFormat="false" ht="15" hidden="false" customHeight="false" outlineLevel="0" collapsed="false">
      <c r="B32" s="18" t="s">
        <v>19</v>
      </c>
      <c r="C32" s="19"/>
      <c r="D32" s="11"/>
    </row>
    <row r="33" customFormat="false" ht="15" hidden="false" customHeight="false" outlineLevel="0" collapsed="false">
      <c r="B33" s="14" t="s">
        <v>25</v>
      </c>
      <c r="C33" s="14"/>
      <c r="D33" s="11"/>
    </row>
    <row r="34" customFormat="false" ht="15" hidden="false" customHeight="false" outlineLevel="0" collapsed="false">
      <c r="B34" s="14" t="s">
        <v>21</v>
      </c>
      <c r="C34" s="14"/>
      <c r="D34" s="11"/>
    </row>
    <row r="35" customFormat="false" ht="15" hidden="false" customHeight="false" outlineLevel="0" collapsed="false">
      <c r="B35" s="14" t="s">
        <v>22</v>
      </c>
      <c r="C35" s="14"/>
      <c r="D35" s="11"/>
    </row>
    <row r="36" customFormat="false" ht="63" hidden="false" customHeight="true" outlineLevel="0" collapsed="false">
      <c r="B36" s="20" t="s">
        <v>26</v>
      </c>
      <c r="C36" s="20"/>
      <c r="D36" s="11"/>
    </row>
    <row r="37" customFormat="false" ht="16.2" hidden="false" customHeight="false" outlineLevel="0" collapsed="false">
      <c r="B37" s="2"/>
      <c r="C37" s="2"/>
      <c r="D37" s="2"/>
    </row>
    <row r="38" customFormat="false" ht="15.6" hidden="false" customHeight="false" outlineLevel="0" collapsed="false">
      <c r="B38" s="15" t="s">
        <v>27</v>
      </c>
      <c r="C38" s="16"/>
      <c r="D38" s="17"/>
    </row>
    <row r="39" customFormat="false" ht="16.2" hidden="false" customHeight="false" outlineLevel="0" collapsed="false">
      <c r="B39" s="21"/>
      <c r="C39" s="21"/>
      <c r="D39" s="21"/>
    </row>
    <row r="40" customFormat="false" ht="15.6" hidden="false" customHeight="false" outlineLevel="0" collapsed="false">
      <c r="B40" s="22" t="s">
        <v>28</v>
      </c>
      <c r="C40" s="22"/>
      <c r="D40" s="23"/>
    </row>
    <row r="41" customFormat="false" ht="15.6" hidden="false" customHeight="false" outlineLevel="0" collapsed="false">
      <c r="B41" s="22" t="s">
        <v>29</v>
      </c>
      <c r="C41" s="22"/>
      <c r="D41" s="23"/>
    </row>
    <row r="42" customFormat="false" ht="15.6" hidden="false" customHeight="false" outlineLevel="0" collapsed="false">
      <c r="B42" s="22" t="s">
        <v>30</v>
      </c>
      <c r="C42" s="22"/>
      <c r="D42" s="23"/>
    </row>
    <row r="43" customFormat="false" ht="15.6" hidden="false" customHeight="false" outlineLevel="0" collapsed="false">
      <c r="B43" s="22" t="s">
        <v>31</v>
      </c>
      <c r="C43" s="22"/>
      <c r="D43" s="24"/>
    </row>
    <row r="44" customFormat="false" ht="15.6" hidden="false" customHeight="false" outlineLevel="0" collapsed="false">
      <c r="B44" s="22" t="s">
        <v>32</v>
      </c>
      <c r="C44" s="22"/>
      <c r="D44" s="23"/>
    </row>
    <row r="45" customFormat="false" ht="16.2" hidden="false" customHeight="false" outlineLevel="0" collapsed="false">
      <c r="B45" s="21"/>
      <c r="C45" s="21"/>
      <c r="D45" s="21"/>
    </row>
    <row r="46" customFormat="false" ht="15" hidden="false" customHeight="false" outlineLevel="0" collapsed="false">
      <c r="B46" s="22" t="s">
        <v>28</v>
      </c>
      <c r="C46" s="22"/>
      <c r="D46" s="23"/>
    </row>
    <row r="47" customFormat="false" ht="15" hidden="false" customHeight="false" outlineLevel="0" collapsed="false">
      <c r="B47" s="22" t="s">
        <v>29</v>
      </c>
      <c r="C47" s="22"/>
      <c r="D47" s="23"/>
    </row>
    <row r="48" customFormat="false" ht="15" hidden="false" customHeight="false" outlineLevel="0" collapsed="false">
      <c r="B48" s="22" t="s">
        <v>30</v>
      </c>
      <c r="C48" s="22"/>
      <c r="D48" s="23"/>
    </row>
    <row r="49" customFormat="false" ht="15" hidden="false" customHeight="false" outlineLevel="0" collapsed="false">
      <c r="B49" s="22" t="s">
        <v>31</v>
      </c>
      <c r="C49" s="22"/>
      <c r="D49" s="24"/>
    </row>
    <row r="50" customFormat="false" ht="15" hidden="false" customHeight="false" outlineLevel="0" collapsed="false">
      <c r="B50" s="22" t="s">
        <v>32</v>
      </c>
      <c r="C50" s="22"/>
      <c r="D50" s="23"/>
    </row>
  </sheetData>
  <mergeCells count="37">
    <mergeCell ref="B2:D8"/>
    <mergeCell ref="B9:D9"/>
    <mergeCell ref="B11:C11"/>
    <mergeCell ref="B12:C12"/>
    <mergeCell ref="B13:C13"/>
    <mergeCell ref="B14:C14"/>
    <mergeCell ref="B15:D15"/>
    <mergeCell ref="B16:C16"/>
    <mergeCell ref="B17:C17"/>
    <mergeCell ref="B18:C18"/>
    <mergeCell ref="B19:C19"/>
    <mergeCell ref="B20:C20"/>
    <mergeCell ref="B21:C21"/>
    <mergeCell ref="B22:C22"/>
    <mergeCell ref="B23:D23"/>
    <mergeCell ref="B26:C26"/>
    <mergeCell ref="B27:C27"/>
    <mergeCell ref="B28:C28"/>
    <mergeCell ref="B29:C29"/>
    <mergeCell ref="B30:D30"/>
    <mergeCell ref="B33:C33"/>
    <mergeCell ref="B34:C34"/>
    <mergeCell ref="B35:C35"/>
    <mergeCell ref="B36:C36"/>
    <mergeCell ref="B37:D37"/>
    <mergeCell ref="B39:D39"/>
    <mergeCell ref="B40:C40"/>
    <mergeCell ref="B41:C41"/>
    <mergeCell ref="B42:C42"/>
    <mergeCell ref="B43:C43"/>
    <mergeCell ref="B44:C44"/>
    <mergeCell ref="B45:D45"/>
    <mergeCell ref="B46:C46"/>
    <mergeCell ref="B47:C47"/>
    <mergeCell ref="B48:C48"/>
    <mergeCell ref="B49:C49"/>
    <mergeCell ref="B50:C50"/>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B1:X50"/>
  <sheetViews>
    <sheetView showFormulas="false" showGridLines="false" showRowColHeaders="true" showZeros="true" rightToLeft="false" tabSelected="false" showOutlineSymbols="true" defaultGridColor="true" view="normal" topLeftCell="A10" colorId="64" zoomScale="75" zoomScaleNormal="75" zoomScalePageLayoutView="100" workbookViewId="0">
      <selection pane="topLeft" activeCell="G6" activeCellId="0" sqref="G6"/>
    </sheetView>
  </sheetViews>
  <sheetFormatPr defaultColWidth="8.796875" defaultRowHeight="13.8" zeroHeight="false" outlineLevelRow="0" outlineLevelCol="0"/>
  <cols>
    <col collapsed="false" customWidth="true" hidden="false" outlineLevel="0" max="1" min="1" style="25" width="1.8"/>
    <col collapsed="false" customWidth="true" hidden="false" outlineLevel="0" max="2" min="2" style="25" width="9.5"/>
    <col collapsed="false" customWidth="true" hidden="false" outlineLevel="0" max="3" min="3" style="25" width="54.8"/>
    <col collapsed="false" customWidth="true" hidden="false" outlineLevel="0" max="4" min="4" style="25" width="6"/>
    <col collapsed="false" customWidth="true" hidden="false" outlineLevel="0" max="5" min="5" style="25" width="4.7"/>
    <col collapsed="false" customWidth="true" hidden="false" outlineLevel="0" max="6" min="6" style="25" width="5.79"/>
    <col collapsed="false" customWidth="true" hidden="false" outlineLevel="0" max="7" min="7" style="25" width="10.2"/>
    <col collapsed="false" customWidth="false" hidden="false" outlineLevel="0" max="8" min="8" style="25" width="8.8"/>
    <col collapsed="false" customWidth="true" hidden="false" outlineLevel="0" max="9" min="9" style="25" width="10.99"/>
    <col collapsed="false" customWidth="false" hidden="false" outlineLevel="0" max="23" min="10" style="25" width="8.8"/>
    <col collapsed="false" customWidth="true" hidden="false" outlineLevel="0" max="24" min="24" style="25" width="10.99"/>
    <col collapsed="false" customWidth="false" hidden="false" outlineLevel="0" max="1024" min="25" style="25" width="8.8"/>
  </cols>
  <sheetData>
    <row r="1" customFormat="false" ht="14.4" hidden="false" customHeight="false" outlineLevel="0" collapsed="false"/>
    <row r="2" customFormat="false" ht="15.6" hidden="false" customHeight="false" outlineLevel="0" collapsed="false">
      <c r="B2" s="26"/>
      <c r="C2" s="27" t="s">
        <v>33</v>
      </c>
      <c r="D2" s="28"/>
      <c r="E2" s="28"/>
      <c r="F2" s="28"/>
    </row>
    <row r="3" customFormat="false" ht="15" hidden="false" customHeight="false" outlineLevel="0" collapsed="false">
      <c r="B3" s="28"/>
      <c r="C3" s="28"/>
      <c r="D3" s="28"/>
      <c r="E3" s="28"/>
      <c r="F3" s="28"/>
    </row>
    <row r="4" customFormat="false" ht="15" hidden="false" customHeight="false" outlineLevel="0" collapsed="false">
      <c r="B4" s="29"/>
      <c r="C4" s="29"/>
      <c r="D4" s="29"/>
      <c r="E4" s="29"/>
      <c r="F4" s="29"/>
    </row>
    <row r="5" customFormat="false" ht="16.05" hidden="false" customHeight="true" outlineLevel="0" collapsed="false">
      <c r="B5" s="30"/>
      <c r="C5" s="30"/>
      <c r="D5" s="30"/>
      <c r="E5" s="30"/>
      <c r="F5" s="30"/>
    </row>
    <row r="6" customFormat="false" ht="19.05" hidden="false" customHeight="true" outlineLevel="0" collapsed="false">
      <c r="B6" s="31"/>
      <c r="C6" s="31"/>
      <c r="D6" s="31"/>
      <c r="E6" s="31"/>
      <c r="F6" s="31"/>
      <c r="G6" s="32" t="s">
        <v>34</v>
      </c>
      <c r="H6" s="32"/>
      <c r="I6" s="32"/>
      <c r="V6" s="32" t="s">
        <v>34</v>
      </c>
      <c r="W6" s="32"/>
      <c r="X6" s="32"/>
    </row>
    <row r="7" customFormat="false" ht="15.6" hidden="false" customHeight="false" outlineLevel="0" collapsed="false">
      <c r="B7" s="33"/>
      <c r="C7" s="33"/>
      <c r="D7" s="33"/>
      <c r="E7" s="33"/>
      <c r="F7" s="33"/>
    </row>
    <row r="8" customFormat="false" ht="16.05" hidden="false" customHeight="true" outlineLevel="0" collapsed="false">
      <c r="B8" s="30"/>
      <c r="C8" s="30"/>
      <c r="D8" s="30"/>
      <c r="E8" s="30"/>
      <c r="F8" s="30"/>
      <c r="G8" s="34" t="n">
        <f aca="false">AVERAGE(G43:G50)*5</f>
        <v>0</v>
      </c>
      <c r="H8" s="34"/>
      <c r="I8" s="34"/>
      <c r="V8" s="34" t="n">
        <f aca="false">AVERAGE(K43:K50)*5</f>
        <v>0</v>
      </c>
      <c r="W8" s="34"/>
      <c r="X8" s="34"/>
    </row>
    <row r="9" customFormat="false" ht="91.05" hidden="false" customHeight="true" outlineLevel="0" collapsed="false">
      <c r="B9" s="31"/>
      <c r="C9" s="31"/>
      <c r="D9" s="31"/>
      <c r="E9" s="31"/>
      <c r="F9" s="31"/>
      <c r="G9" s="34"/>
      <c r="H9" s="34"/>
      <c r="I9" s="34"/>
      <c r="V9" s="34"/>
      <c r="W9" s="34"/>
      <c r="X9" s="34"/>
    </row>
    <row r="10" customFormat="false" ht="16.5" hidden="false" customHeight="true" outlineLevel="0" collapsed="false">
      <c r="B10" s="33"/>
      <c r="C10" s="33"/>
      <c r="D10" s="33"/>
      <c r="E10" s="33"/>
      <c r="F10" s="33"/>
      <c r="G10" s="34"/>
      <c r="H10" s="34"/>
      <c r="I10" s="34"/>
      <c r="V10" s="34"/>
      <c r="W10" s="34"/>
      <c r="X10" s="34"/>
    </row>
    <row r="11" customFormat="false" ht="17.25" hidden="false" customHeight="true" outlineLevel="0" collapsed="false">
      <c r="B11" s="33"/>
      <c r="C11" s="33"/>
      <c r="D11" s="33"/>
      <c r="E11" s="33"/>
      <c r="F11" s="33"/>
      <c r="G11" s="34"/>
      <c r="H11" s="34"/>
      <c r="I11" s="34"/>
      <c r="V11" s="34"/>
      <c r="W11" s="34"/>
      <c r="X11" s="34"/>
    </row>
    <row r="12" customFormat="false" ht="16.05" hidden="false" customHeight="true" outlineLevel="0" collapsed="false">
      <c r="B12" s="30"/>
      <c r="C12" s="30"/>
      <c r="D12" s="30"/>
      <c r="E12" s="30"/>
      <c r="F12" s="30"/>
    </row>
    <row r="13" customFormat="false" ht="14.4" hidden="false" customHeight="false" outlineLevel="0" collapsed="false">
      <c r="B13" s="35"/>
      <c r="C13" s="35"/>
      <c r="D13" s="35"/>
      <c r="E13" s="35"/>
      <c r="F13" s="35"/>
    </row>
    <row r="14" customFormat="false" ht="14.4" hidden="false" customHeight="false" outlineLevel="0" collapsed="false">
      <c r="B14" s="36"/>
      <c r="C14" s="36"/>
      <c r="D14" s="36"/>
      <c r="E14" s="36"/>
      <c r="F14" s="37"/>
    </row>
    <row r="15" customFormat="false" ht="15" hidden="false" customHeight="false" outlineLevel="0" collapsed="false">
      <c r="B15" s="33"/>
      <c r="C15" s="33"/>
      <c r="D15" s="33"/>
      <c r="E15" s="33"/>
      <c r="F15" s="33"/>
    </row>
    <row r="16" customFormat="false" ht="16.05" hidden="false" customHeight="true" outlineLevel="0" collapsed="false">
      <c r="B16" s="30"/>
      <c r="C16" s="30"/>
      <c r="D16" s="30"/>
      <c r="E16" s="30"/>
      <c r="F16" s="30"/>
    </row>
    <row r="17" customFormat="false" ht="14.4" hidden="false" customHeight="false" outlineLevel="0" collapsed="false">
      <c r="B17" s="35"/>
      <c r="C17" s="35"/>
      <c r="D17" s="35"/>
      <c r="E17" s="35"/>
      <c r="F17" s="35"/>
    </row>
    <row r="18" customFormat="false" ht="14.4" hidden="false" customHeight="false" outlineLevel="0" collapsed="false">
      <c r="B18" s="36"/>
      <c r="C18" s="36"/>
      <c r="D18" s="36"/>
      <c r="E18" s="36"/>
      <c r="F18" s="37"/>
    </row>
    <row r="20" customFormat="false" ht="13.8" hidden="false" customHeight="false" outlineLevel="0" collapsed="false">
      <c r="B20" s="25" t="s">
        <v>35</v>
      </c>
    </row>
    <row r="23" customFormat="false" ht="13.8" hidden="false" customHeight="false" outlineLevel="0" collapsed="false">
      <c r="C23" s="38"/>
    </row>
    <row r="24" customFormat="false" ht="13.8" hidden="false" customHeight="false" outlineLevel="0" collapsed="false">
      <c r="C24" s="38"/>
    </row>
    <row r="25" customFormat="false" ht="13.8" hidden="false" customHeight="false" outlineLevel="0" collapsed="false">
      <c r="C25" s="38"/>
    </row>
    <row r="26" customFormat="false" ht="13.8" hidden="false" customHeight="false" outlineLevel="0" collapsed="false">
      <c r="C26" s="38"/>
    </row>
    <row r="27" customFormat="false" ht="13.8" hidden="false" customHeight="false" outlineLevel="0" collapsed="false">
      <c r="C27" s="38"/>
    </row>
    <row r="28" customFormat="false" ht="13.8" hidden="false" customHeight="false" outlineLevel="0" collapsed="false">
      <c r="C28" s="38"/>
    </row>
    <row r="29" customFormat="false" ht="13.8" hidden="false" customHeight="false" outlineLevel="0" collapsed="false">
      <c r="C29" s="38"/>
    </row>
    <row r="30" customFormat="false" ht="13.8" hidden="false" customHeight="false" outlineLevel="0" collapsed="false">
      <c r="C30" s="38"/>
    </row>
    <row r="31" customFormat="false" ht="13.8" hidden="false" customHeight="false" outlineLevel="0" collapsed="false">
      <c r="C31" s="38"/>
    </row>
    <row r="32" customFormat="false" ht="13.8" hidden="false" customHeight="false" outlineLevel="0" collapsed="false">
      <c r="C32" s="38"/>
    </row>
    <row r="35" customFormat="false" ht="15.75" hidden="false" customHeight="true" outlineLevel="0" collapsed="false"/>
    <row r="41" customFormat="false" ht="14.4" hidden="false" customHeight="false" outlineLevel="0" collapsed="false">
      <c r="D41" s="39" t="s">
        <v>36</v>
      </c>
      <c r="E41" s="39"/>
      <c r="F41" s="39"/>
      <c r="G41" s="39"/>
      <c r="H41" s="39" t="s">
        <v>37</v>
      </c>
      <c r="I41" s="39"/>
      <c r="J41" s="39"/>
      <c r="K41" s="39"/>
    </row>
    <row r="42" customFormat="false" ht="13.8" hidden="false" customHeight="false" outlineLevel="0" collapsed="false">
      <c r="D42" s="40" t="s">
        <v>38</v>
      </c>
      <c r="E42" s="40" t="s">
        <v>39</v>
      </c>
      <c r="F42" s="40" t="s">
        <v>40</v>
      </c>
      <c r="G42" s="40" t="s">
        <v>41</v>
      </c>
      <c r="H42" s="40" t="s">
        <v>38</v>
      </c>
      <c r="I42" s="40" t="s">
        <v>39</v>
      </c>
      <c r="J42" s="40" t="s">
        <v>40</v>
      </c>
      <c r="K42" s="40" t="s">
        <v>41</v>
      </c>
    </row>
    <row r="43" customFormat="false" ht="14.4" hidden="false" customHeight="false" outlineLevel="0" collapsed="false">
      <c r="C43" s="41" t="s">
        <v>42</v>
      </c>
      <c r="D43" s="42" t="n">
        <f aca="false">COUNTIFS('Требования безопасности - Android'!G5:G14,'Требования безопасности - Android'!B79)</f>
        <v>0</v>
      </c>
      <c r="E43" s="42" t="n">
        <f aca="false">COUNTIFS('Требования безопасности - Android'!G5:G14,'Требования безопасности - Android'!B80)</f>
        <v>0</v>
      </c>
      <c r="F43" s="43" t="n">
        <f aca="false">COUNTIFS('Требования безопасности - Android'!G5:G14,'Требования безопасности - Android'!B81)</f>
        <v>6</v>
      </c>
      <c r="G43" s="44" t="n">
        <f aca="false">IF(D43+E43=0, 0, D43/(E43+D43))</f>
        <v>0</v>
      </c>
      <c r="H43" s="42" t="n">
        <f aca="false">COUNTIFS('Требования безопасности - iOS'!G5:G14,'Требования безопасности - Android'!B79)</f>
        <v>0</v>
      </c>
      <c r="I43" s="42" t="n">
        <f aca="false">COUNTIFS('Требования безопасности - iOS'!G5:G14,'Требования безопасности - Android'!B80)</f>
        <v>0</v>
      </c>
      <c r="J43" s="43" t="n">
        <f aca="false">COUNTIFS('Требования безопасности - iOS'!G5:G14,'Требования безопасности - Android'!B81)</f>
        <v>6</v>
      </c>
      <c r="K43" s="44" t="n">
        <f aca="false">IF(H43+I43=0, 0, H43/(H43+I43))</f>
        <v>0</v>
      </c>
    </row>
    <row r="44" customFormat="false" ht="14.4" hidden="false" customHeight="false" outlineLevel="0" collapsed="false">
      <c r="C44" s="41" t="s">
        <v>43</v>
      </c>
      <c r="D44" s="42" t="n">
        <f aca="false">COUNTIFS('Требования безопасности - Android'!G16:G27,'Требования безопасности - Android'!B79)</f>
        <v>0</v>
      </c>
      <c r="E44" s="42" t="n">
        <f aca="false">COUNTIFS('Требования безопасности - Android'!G16:G27,'Требования безопасности - Android'!B80)</f>
        <v>0</v>
      </c>
      <c r="F44" s="42" t="n">
        <f aca="false">COUNTIFS('Требования безопасности - Android'!G16:G27,'Требования безопасности - Android'!B81)</f>
        <v>5</v>
      </c>
      <c r="G44" s="44" t="n">
        <f aca="false">IF(D44+E44=0, 0, D44/(E44+D44))</f>
        <v>0</v>
      </c>
      <c r="H44" s="42" t="n">
        <f aca="false">COUNTIFS('Требования безопасности - iOS'!G16:G27,'Требования безопасности - Android'!B79)</f>
        <v>0</v>
      </c>
      <c r="I44" s="42" t="n">
        <f aca="false">COUNTIFS('Требования безопасности - iOS'!G16:G27,'Требования безопасности - Android'!B80)</f>
        <v>0</v>
      </c>
      <c r="J44" s="42" t="n">
        <f aca="false">COUNTIFS('Требования безопасности - iOS'!G16:G27,'Требования безопасности - Android'!B81)</f>
        <v>5</v>
      </c>
      <c r="K44" s="44" t="n">
        <f aca="false">IF(H44+I44=0, 0, H44/(H44+I44))</f>
        <v>0</v>
      </c>
    </row>
    <row r="45" customFormat="false" ht="14.4" hidden="false" customHeight="false" outlineLevel="0" collapsed="false">
      <c r="C45" s="41" t="s">
        <v>44</v>
      </c>
      <c r="D45" s="42" t="n">
        <f aca="false">COUNTIFS('Требования безопасности - Android'!G29:G34,'Требования безопасности - Android'!B79)</f>
        <v>0</v>
      </c>
      <c r="E45" s="42" t="n">
        <f aca="false">COUNTIFS('Требования безопасности - Android'!G29:G34,'Требования безопасности - Android'!B80)</f>
        <v>0</v>
      </c>
      <c r="F45" s="42" t="n">
        <f aca="false">COUNTIFS('Требования безопасности - Android'!G29:G34,'Требования безопасности - Android'!B81)</f>
        <v>0</v>
      </c>
      <c r="G45" s="44" t="n">
        <f aca="false">IF(D45+E45=0, 0, D45/(E45+D45))</f>
        <v>0</v>
      </c>
      <c r="H45" s="42" t="n">
        <f aca="false">COUNTIFS('Требования безопасности - iOS'!G29:G34,'Требования безопасности - Android'!B79)</f>
        <v>0</v>
      </c>
      <c r="I45" s="42" t="n">
        <f aca="false">COUNTIFS('Требования безопасности - iOS'!G29:G34,'Требования безопасности - Android'!B80)</f>
        <v>0</v>
      </c>
      <c r="J45" s="42" t="n">
        <f aca="false">COUNTIFS('Требования безопасности - iOS'!G29:G34,'Требования безопасности - Android'!B81)</f>
        <v>0</v>
      </c>
      <c r="K45" s="44" t="n">
        <f aca="false">IF(H45+I45=0, 0, H45/(H45+I45))</f>
        <v>0</v>
      </c>
    </row>
    <row r="46" customFormat="false" ht="14.4" hidden="false" customHeight="false" outlineLevel="0" collapsed="false">
      <c r="C46" s="41" t="s">
        <v>45</v>
      </c>
      <c r="D46" s="42" t="n">
        <f aca="false">COUNTIFS('Требования безопасности - Android'!G36:G46,'Требования безопасности - Android'!B79)</f>
        <v>0</v>
      </c>
      <c r="E46" s="42" t="n">
        <f aca="false">COUNTIFS('Требования безопасности - Android'!G36:G46,'Требования безопасности - Android'!B80)</f>
        <v>0</v>
      </c>
      <c r="F46" s="42" t="n">
        <f aca="false">COUNTIFS('Требования безопасности - Android'!G36:G46,'Требования безопасности - Android'!B81)</f>
        <v>4</v>
      </c>
      <c r="G46" s="44" t="n">
        <f aca="false">IF(D46+E46=0, 0, D46/(E46+D46))</f>
        <v>0</v>
      </c>
      <c r="H46" s="42" t="n">
        <f aca="false">COUNTIFS('Требования безопасности - iOS'!G36:G46,'Требования безопасности - Android'!B79)</f>
        <v>0</v>
      </c>
      <c r="I46" s="42" t="n">
        <f aca="false">COUNTIFS('Требования безопасности - iOS'!G36:G46,'Требования безопасности - Android'!B80)</f>
        <v>0</v>
      </c>
      <c r="J46" s="42" t="n">
        <f aca="false">COUNTIFS('Требования безопасности - iOS'!G36:G46,'Требования безопасности - Android'!B81)</f>
        <v>4</v>
      </c>
      <c r="K46" s="44" t="n">
        <f aca="false">IF(H46+I46=0, 0, H46/(H46+I46))</f>
        <v>0</v>
      </c>
    </row>
    <row r="47" customFormat="false" ht="14.4" hidden="false" customHeight="false" outlineLevel="0" collapsed="false">
      <c r="C47" s="41" t="s">
        <v>46</v>
      </c>
      <c r="D47" s="42" t="n">
        <f aca="false">COUNTIFS('Требования безопасности - Android'!G48:G53,'Требования безопасности - Android'!B79)</f>
        <v>0</v>
      </c>
      <c r="E47" s="42" t="n">
        <f aca="false">COUNTIFS('Требования безопасности - Android'!G48:G53,'Требования безопасности - Android'!B80)</f>
        <v>0</v>
      </c>
      <c r="F47" s="42" t="n">
        <f aca="false">COUNTIFS('Требования безопасности - Android'!G48:G53,'Требования безопасности - Android'!B81)</f>
        <v>3</v>
      </c>
      <c r="G47" s="44" t="n">
        <f aca="false">IF(D47+E47=0, 0, D47/(E47+D47))</f>
        <v>0</v>
      </c>
      <c r="H47" s="42" t="n">
        <f aca="false">COUNTIFS('Требования безопасности - iOS'!G48:G53,'Требования безопасности - Android'!B79)</f>
        <v>0</v>
      </c>
      <c r="I47" s="42" t="n">
        <f aca="false">COUNTIFS('Требования безопасности - iOS'!G48:G53,'Требования безопасности - Android'!B80)</f>
        <v>0</v>
      </c>
      <c r="J47" s="42" t="n">
        <f aca="false">COUNTIFS('Требования безопасности - iOS'!G48:G53,'Требования безопасности - Android'!B81)</f>
        <v>3</v>
      </c>
      <c r="K47" s="44" t="n">
        <f aca="false">IF(H47+I47=0, 0, H47/(H47+I47))</f>
        <v>0</v>
      </c>
    </row>
    <row r="48" customFormat="false" ht="14.4" hidden="false" customHeight="false" outlineLevel="0" collapsed="false">
      <c r="C48" s="41" t="s">
        <v>47</v>
      </c>
      <c r="D48" s="42" t="n">
        <f aca="false">COUNTIFS('Требования безопасности - Android'!G55:G62,'Требования безопасности - Android'!B79)</f>
        <v>0</v>
      </c>
      <c r="E48" s="42" t="n">
        <f aca="false">COUNTIFS('Требования безопасности - Android'!G55:G62,'Требования безопасности - Android'!B80)</f>
        <v>0</v>
      </c>
      <c r="F48" s="42" t="n">
        <f aca="false">COUNTIFS('Требования безопасности - Android'!G55:G62,'Требования безопасности - Android'!B81)</f>
        <v>0</v>
      </c>
      <c r="G48" s="44" t="n">
        <f aca="false">IF(D48+E48=0, 0, D48/(E48+D48))</f>
        <v>0</v>
      </c>
      <c r="H48" s="42" t="n">
        <f aca="false">COUNTIFS('Требования безопасности - iOS'!G55:G62,'Требования безопасности - Android'!B79)</f>
        <v>0</v>
      </c>
      <c r="I48" s="42" t="n">
        <f aca="false">COUNTIFS('Требования безопасности - iOS'!G55:G62,'Требования безопасности - Android'!B80)</f>
        <v>0</v>
      </c>
      <c r="J48" s="42" t="n">
        <f aca="false">COUNTIFS('Требования безопасности - iOS'!G55:G62,'Требования безопасности - Android'!B81)</f>
        <v>0</v>
      </c>
      <c r="K48" s="44" t="n">
        <f aca="false">IF(H48+I48=0, 0, H48/(H48+I48))</f>
        <v>0</v>
      </c>
    </row>
    <row r="49" customFormat="false" ht="14.4" hidden="false" customHeight="false" outlineLevel="0" collapsed="false">
      <c r="C49" s="41" t="s">
        <v>48</v>
      </c>
      <c r="D49" s="42" t="n">
        <f aca="false">COUNTIFS('Требования безопасности - Android'!G64:G72,'Требования безопасности - Android'!B79)</f>
        <v>0</v>
      </c>
      <c r="E49" s="42" t="n">
        <f aca="false">COUNTIFS('Требования безопасности - Android'!G64:G72,'Требования безопасности - Android'!B80)</f>
        <v>0</v>
      </c>
      <c r="F49" s="42" t="n">
        <f aca="false">COUNTIFS('Требования безопасности - Android'!G64:G72,'Требования безопасности - Android'!B81)</f>
        <v>0</v>
      </c>
      <c r="G49" s="44" t="n">
        <f aca="false">IF(D49+E49=0, 0, D49/(E49+D49))</f>
        <v>0</v>
      </c>
      <c r="H49" s="42" t="n">
        <f aca="false">COUNTIFS('Требования безопасности - iOS'!G64:G72,'Требования безопасности - Android'!B79)</f>
        <v>0</v>
      </c>
      <c r="I49" s="42" t="n">
        <f aca="false">COUNTIFS('Требования безопасности - iOS'!G64:G72,'Требования безопасности - Android'!B80)</f>
        <v>0</v>
      </c>
      <c r="J49" s="42" t="n">
        <f aca="false">COUNTIFS('Требования безопасности - iOS'!G64:G72,'Требования безопасности - Android'!B81)</f>
        <v>0</v>
      </c>
      <c r="K49" s="44" t="n">
        <f aca="false">IF(H49+I49=0, 0, H49/(H49+I49))</f>
        <v>0</v>
      </c>
    </row>
    <row r="50" customFormat="false" ht="14.4" hidden="false" customHeight="false" outlineLevel="0" collapsed="false">
      <c r="C50" s="41" t="s">
        <v>49</v>
      </c>
      <c r="D50" s="42" t="n">
        <f aca="false">COUNTIFS('Противодействие Reverse Engineering - Android'!F4:F18,'Требования безопасности - Android'!B79)</f>
        <v>0</v>
      </c>
      <c r="E50" s="42" t="n">
        <f aca="false">COUNTIFS('Противодействие Reverse Engineering - Android'!F4:F18,'Требования безопасности - Android'!B80)</f>
        <v>0</v>
      </c>
      <c r="F50" s="42" t="n">
        <f aca="false">COUNTIFS('Противодействие Reverse Engineering - Android'!F4:F18,'Требования безопасности - Android'!B81)</f>
        <v>12</v>
      </c>
      <c r="G50" s="44" t="n">
        <f aca="false">IF(D50+E50=0, 0, D50/(E50+D50))</f>
        <v>0</v>
      </c>
      <c r="H50" s="42" t="n">
        <f aca="false">COUNTIFS('Противодействие Reverse Engineering - iOS'!F4:F18,'Требования безопасности - Android'!B79)</f>
        <v>0</v>
      </c>
      <c r="I50" s="42" t="n">
        <f aca="false">COUNTIFS('Противодействие Reverse Engineering - iOS'!F4:F18,'Требования безопасности - Android'!B80)</f>
        <v>0</v>
      </c>
      <c r="J50" s="42" t="n">
        <f aca="false">COUNTIFS('Противодействие Reverse Engineering - iOS'!F4:F18,'Требования безопасности - Android'!B81)</f>
        <v>12</v>
      </c>
      <c r="K50" s="44" t="n">
        <f aca="false">IF(H50+I50=0, 0, H50/(H50+I50))</f>
        <v>0</v>
      </c>
    </row>
  </sheetData>
  <mergeCells count="9">
    <mergeCell ref="B4:F4"/>
    <mergeCell ref="G6:I6"/>
    <mergeCell ref="V6:X6"/>
    <mergeCell ref="G8:I11"/>
    <mergeCell ref="V8:X11"/>
    <mergeCell ref="B12:F12"/>
    <mergeCell ref="B16:F16"/>
    <mergeCell ref="D41:G41"/>
    <mergeCell ref="H41:K41"/>
  </mergeCells>
  <conditionalFormatting sqref="F14">
    <cfRule type="iconSet" priority="2">
      <iconSet iconSet="3TrafficLights1">
        <cfvo type="percent" val="0"/>
        <cfvo type="num" val="0.4"/>
        <cfvo type="num" val="0.8"/>
      </iconSet>
    </cfRule>
  </conditionalFormatting>
  <conditionalFormatting sqref="F14">
    <cfRule type="expression" priority="3" aboveAverage="0" equalAverage="0" bottom="0" percent="0" rank="0" text="" dxfId="0">
      <formula>MOD(ROW(),2)=1</formula>
    </cfRule>
  </conditionalFormatting>
  <conditionalFormatting sqref="F18">
    <cfRule type="iconSet" priority="4">
      <iconSet iconSet="3TrafficLights1">
        <cfvo type="percent" val="0"/>
        <cfvo type="num" val="0.4"/>
        <cfvo type="num" val="0.8"/>
      </iconSet>
    </cfRule>
  </conditionalFormatting>
  <conditionalFormatting sqref="F18">
    <cfRule type="expression" priority="5" aboveAverage="0" equalAverage="0" bottom="0" percent="0" rank="0" text="" dxfId="1">
      <formula>MOD(ROW(),2)=1</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true" showOutlineSymbols="true" defaultGridColor="true" view="normal" topLeftCell="E19" colorId="64" zoomScale="75" zoomScaleNormal="75" zoomScalePageLayoutView="100" workbookViewId="0">
      <selection pane="topLeft" activeCell="I53" activeCellId="0" sqref="I53"/>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8"/>
    <col collapsed="false" customWidth="true" hidden="false" outlineLevel="0" max="3" min="3" style="46" width="17.9"/>
    <col collapsed="false" customWidth="true" hidden="false" outlineLevel="0" max="4" min="4" style="47" width="97.3"/>
    <col collapsed="false" customWidth="true" hidden="false" outlineLevel="0" max="5" min="5" style="45" width="9.45"/>
    <col collapsed="false" customWidth="true" hidden="false" outlineLevel="0" max="6" min="6" style="45" width="9.12"/>
    <col collapsed="false" customWidth="true" hidden="false" outlineLevel="0" max="7" min="7" style="45" width="5.79"/>
    <col collapsed="false" customWidth="true" hidden="false" outlineLevel="0" max="8" min="8" style="0" width="101.59"/>
    <col collapsed="false" customWidth="true" hidden="false" outlineLevel="0" max="9" min="9" style="0" width="83.59"/>
    <col collapsed="false" customWidth="true" hidden="false" outlineLevel="0" max="10" min="10" style="0" width="73.4"/>
    <col collapsed="false" customWidth="true" hidden="false" outlineLevel="0" max="11" min="11" style="47" width="30.8"/>
    <col collapsed="false" customWidth="false" hidden="false" outlineLevel="0" max="12" min="12" style="45" width="11"/>
    <col collapsed="false" customWidth="true" hidden="false" outlineLevel="0" max="14" min="13" style="45" width="10.8"/>
    <col collapsed="false" customWidth="false" hidden="false" outlineLevel="0" max="1024" min="15" style="45" width="11"/>
  </cols>
  <sheetData>
    <row r="1" customFormat="false" ht="18" hidden="false" customHeight="false" outlineLevel="0" collapsed="false">
      <c r="B1" s="48" t="s">
        <v>50</v>
      </c>
      <c r="C1" s="48"/>
      <c r="D1" s="48"/>
      <c r="E1" s="48"/>
      <c r="F1" s="48"/>
      <c r="G1" s="48"/>
      <c r="H1" s="48"/>
      <c r="I1" s="48"/>
      <c r="J1" s="48"/>
      <c r="K1" s="48"/>
    </row>
    <row r="2" customFormat="false" ht="15.6" hidden="false" customHeight="false" outlineLevel="0" collapsed="false">
      <c r="B2" s="49"/>
      <c r="C2" s="49"/>
      <c r="D2" s="50"/>
      <c r="E2" s="51"/>
      <c r="F2" s="51"/>
      <c r="G2" s="51"/>
      <c r="H2" s="52"/>
      <c r="I2" s="52"/>
      <c r="J2" s="52"/>
      <c r="K2" s="50"/>
    </row>
    <row r="3" customFormat="fals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"Информация об архитектуре")</f>
        <v>Информация об архитектуре</v>
      </c>
      <c r="I5" s="71" t="str">
        <f aca="false">HYPERLINK(CONCATENATE( BASE_URL, "0x05h-Testing-Platform-Interaction.md#testing-for-insecure-configuration-of-instant-apps-mstg-arch-1-mstg-arch-7"), "Тестирование на небезопасную конфигурацию Instant Apps (MSTG-ARCH-1, MSTG-ARCH-7)")</f>
        <v>Тестирование на небезопасную конфигурацию Instant Apps (MSTG-ARCH-1, MSTG-ARCH-7)</v>
      </c>
      <c r="J5" s="72"/>
      <c r="K5" s="73"/>
    </row>
    <row r="6" customFormat="false" ht="15" hidden="false" customHeight="false" outlineLevel="0" collapsed="false">
      <c r="B6" s="65" t="s">
        <v>65</v>
      </c>
      <c r="C6" s="66" t="s">
        <v>66</v>
      </c>
      <c r="D6" s="67" t="s">
        <v>67</v>
      </c>
      <c r="E6" s="68" t="s">
        <v>64</v>
      </c>
      <c r="F6" s="69" t="s">
        <v>64</v>
      </c>
      <c r="G6" s="70"/>
      <c r="H6" s="74" t="str">
        <f aca="false">HYPERLINK(CONCATENATE( BASE_URL, "0x04h-Testing-Code-Quality.md#injection-flaws-mstg-arch-2-and-mstg-platform-2"), "Ошибка инъекции (MSTG-ARCH-2 and MSTG-PLATFORM-2)")</f>
        <v>Ошибка инъекции (MSTG-ARCH-2 and MSTG-PLATFORM-2)</v>
      </c>
      <c r="I6" s="75"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75"/>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"Информация об окружении")</f>
        <v>Информация об окружении</v>
      </c>
      <c r="I9" s="76"/>
      <c r="J9" s="76"/>
      <c r="K9" s="73"/>
    </row>
    <row r="10" customFormat="false" ht="23.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HYPERLINK(CONCATENATE(BASE_URL,"0x05h-Testing-Platform-Interaction.md#testing-for-insecure-configuration-of-instant-apps-mstg-arch-1-mstg-arch-7"),"Тестирование на небезопасную конфигурацию Instant Apps (MSTG-ARCH-1, MSTG-ARCH-7)")</f>
        <v>Тестирование на небезопасную конфигурацию Instant Apps (MSTG-ARCH-1, MSTG-ARCH-7)</v>
      </c>
      <c r="I11" s="75" t="str">
        <f aca="false">HYPERLINK(CONCATENATE( BASE_URL, "0x04b-Mobile-App-Security-Testing.md#principles-of-testing"), "Принципы тестирования")</f>
        <v>Принципы тестирования</v>
      </c>
      <c r="J11" s="78" t="str">
        <f aca="false">HYPERLINK(CONCATENATE( BASE_URL, "0x04b-Mobile-App-Security-Testing.md#penetration-testing-aka-pentesting"), "Тестирование на проникновение (a.k.a. Pentesting)")</f>
        <v>Тестирование на проникновение (a.k.a. Pentesting)</v>
      </c>
      <c r="K11" s="73"/>
    </row>
    <row r="12" customFormat="false" ht="23.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"0x05h-Testing-Platform-Interaction.md#testing-enforced-updating-mstg-arch-9"),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86"/>
    </row>
    <row r="16" customFormat="false" ht="23.85" hidden="false" customHeight="false" outlineLevel="0" collapsed="false">
      <c r="B16" s="87" t="s">
        <v>95</v>
      </c>
      <c r="C16" s="88" t="s">
        <v>96</v>
      </c>
      <c r="D16" s="67" t="s">
        <v>97</v>
      </c>
      <c r="E16" s="68" t="s">
        <v>64</v>
      </c>
      <c r="F16" s="69" t="s">
        <v>64</v>
      </c>
      <c r="G16" s="70"/>
      <c r="H16" s="89" t="str">
        <f aca="false">HYPERLINK(CONCATENATE(BASE_URL,"0x05d-Testing-Data-Storage.md#testing-local-storage-for-sensitive-data-mstg-storage-1-and-mstg-storage-2"),"Проверка наличия конфиденциальных даннх на локальном хранилище (MSTG-STORAGE-1 and MSTG-STORAGE-2)")</f>
        <v>Проверка наличия конфиденциальных даннх на локальном хранилище (MSTG-STORAGE-1 and MSTG-STORAGE-2)</v>
      </c>
      <c r="I16"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J16" s="72"/>
      <c r="K16" s="73"/>
    </row>
    <row r="17" customFormat="false" ht="23.85" hidden="false" customHeight="false" outlineLevel="0" collapsed="false">
      <c r="B17" s="87" t="s">
        <v>98</v>
      </c>
      <c r="C17" s="88" t="s">
        <v>99</v>
      </c>
      <c r="D17" s="67" t="s">
        <v>100</v>
      </c>
      <c r="E17" s="68"/>
      <c r="F17" s="69"/>
      <c r="G17" s="70"/>
      <c r="H17"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91"/>
    </row>
    <row r="18" customFormat="false" ht="15" hidden="false" customHeight="false" outlineLevel="0" collapsed="false">
      <c r="B18" s="87" t="s">
        <v>101</v>
      </c>
      <c r="C18" s="88" t="s">
        <v>102</v>
      </c>
      <c r="D18" s="67" t="s">
        <v>103</v>
      </c>
      <c r="E18" s="68" t="s">
        <v>64</v>
      </c>
      <c r="F18" s="69" t="s">
        <v>64</v>
      </c>
      <c r="G18" s="70"/>
      <c r="H18" s="90" t="str">
        <f aca="false">HYPERLINK(CONCATENATE(BASE_URL,"0x05d-Testing-Data-Storage.md#testing-logs-for-sensitive-data-mstg-storage-3"),"Проверка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89" t="str">
        <f aca="false">HYPERLINK(CONCATENATE(BASE_URL,"0x05d-Testing-Data-Storage.md#determining-whether-sensitive-data-is-sent-to-third-parties-mstg-storage-4"),"Проверка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89" t="str">
        <f aca="false">HYPERLINK(CONCATENATE(BASE_URL,"0x05d-Testing-Data-Storage.md#determining-whether-the-keyboard-cache-is-disabled-for-text-input-fields-mstg-storage-5"),"Проверка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HYPERLINK(CONCATENATE(BASE_URL,"0x05d-Testing-Data-Storage.md#determining-whether-sensitive-stored-data-has-been-exposed-via-ipc-mechanisms-mstg-storage-6"),"Проверка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HYPERLINK(CONCATENATE(BASE_URL,"0x05d-Testing-Data-Storage.md#checking-for-sensitive-data-disclosure-through-the-user-interface-mstg-storage-7"),"Проверка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HYPERLINK(CONCATENATE(BASE_URL,"0x05d-Testing-Data-Storage.md#testing-backups-for-sensitive-data-mstg-storage-8"),"Тестирование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HYPERLINK(CONCATENATE(BASE_URL,"0x05d-Testing-Data-Storage.md#finding-sensitive-information-in-auto-generated-screenshots-mstg-storage-9"),"Поиск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3.85" hidden="false" customHeight="false" outlineLevel="0" collapsed="false">
      <c r="B25" s="87" t="s">
        <v>122</v>
      </c>
      <c r="C25" s="88" t="s">
        <v>123</v>
      </c>
      <c r="D25" s="92" t="s">
        <v>124</v>
      </c>
      <c r="E25" s="93"/>
      <c r="F25" s="69" t="s">
        <v>64</v>
      </c>
      <c r="G25" s="70" t="s">
        <v>77</v>
      </c>
      <c r="H25" s="90" t="str">
        <f aca="false">HYPERLINK(CONCATENATE(BASE_URL,"0x05d-Testing-Data-Storage.md#checking-memory-for-sensitive-data-mstg-storage-10"),"Проверка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3.85" hidden="false" customHeight="false" outlineLevel="0" collapsed="false">
      <c r="B26" s="87" t="s">
        <v>125</v>
      </c>
      <c r="C26" s="88" t="s">
        <v>126</v>
      </c>
      <c r="D26" s="92" t="s">
        <v>127</v>
      </c>
      <c r="E26" s="93"/>
      <c r="F26" s="69" t="s">
        <v>64</v>
      </c>
      <c r="G26" s="70" t="s">
        <v>77</v>
      </c>
      <c r="H26" s="90" t="str">
        <f aca="false">HYPERLINK(CONCATENATE(BASE_URL,"0x05d-Testing-Data-Storage.md#testing-the-device-access-security-policy-mstg-storage-11"),"Проверка политики безопасности доступа к устройству (MSTG-STORAGE-11)")</f>
        <v>Проверка политики безопасности доступа к устройству (MSTG-STORAGE-11)</v>
      </c>
      <c r="I26" s="75"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J26" s="76"/>
      <c r="K26" s="73"/>
    </row>
    <row r="27" customFormat="false" ht="23.85" hidden="false" customHeight="false" outlineLevel="0" collapsed="false">
      <c r="B27" s="87" t="s">
        <v>128</v>
      </c>
      <c r="C27" s="88" t="s">
        <v>129</v>
      </c>
      <c r="D27" s="67" t="s">
        <v>130</v>
      </c>
      <c r="E27" s="93"/>
      <c r="F27" s="69" t="s">
        <v>64</v>
      </c>
      <c r="G27" s="70" t="s">
        <v>77</v>
      </c>
      <c r="H27" s="94"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29"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29" s="72"/>
      <c r="K29" s="73"/>
    </row>
    <row r="30" customFormat="false" ht="25.35" hidden="false" customHeight="false" outlineLevel="0" collapsed="false">
      <c r="B30" s="87" t="s">
        <v>136</v>
      </c>
      <c r="C30" s="88" t="s">
        <v>137</v>
      </c>
      <c r="D30" s="92" t="s">
        <v>138</v>
      </c>
      <c r="E30" s="68" t="s">
        <v>64</v>
      </c>
      <c r="F30" s="69" t="s">
        <v>64</v>
      </c>
      <c r="G30" s="70"/>
      <c r="H30"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I30"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0" s="72"/>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I31"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31" s="72"/>
      <c r="K31" s="73"/>
    </row>
    <row r="32" customFormat="false" ht="25.3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2" s="72"/>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HYPERLINK(CONCATENATE(BASE_URL,"0x05e-Testing-Cryptography.md#testing-random-number-generation-mstg-crypto-6"),"Проверка системы генерации случайных чисел (MSTG-CRYPTO-6)")</f>
        <v>Проверка системы генерации случайных чисел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3.85" hidden="false" customHeight="false" outlineLevel="0" collapsed="false">
      <c r="B36" s="87" t="s">
        <v>153</v>
      </c>
      <c r="C36" s="88" t="s">
        <v>154</v>
      </c>
      <c r="D36" s="96" t="s">
        <v>155</v>
      </c>
      <c r="E36" s="68" t="s">
        <v>64</v>
      </c>
      <c r="F36" s="69" t="s">
        <v>64</v>
      </c>
      <c r="G36" s="70"/>
      <c r="H36" s="90"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I36" s="75" t="str">
        <f aca="false">HYPERLINK(CONCATENATE(BASE_URL,"0x04e-Testing-Authentication-and-Session-Management.md#verifying-that-appropriate-authentication-is-in-place-mstg-arch-2-and-mstg-auth-1"),"Проверка наличия соответствующей аутентификации (MSTG-ARCH-2 and MSTG-AUTH-1)")</f>
        <v>Проверка наличия соответствующей аутентификации (MSTG-ARCH-2 and MSTG-AUTH-1)</v>
      </c>
      <c r="J36" s="75" t="str">
        <f aca="false">HYPERLINK(CONCATENATE(BASE_URL,"0x04e-Testing-Authentication-and-Session-Management.md#testing-oauth-20-flows-mstg-auth-1-and-mstg-auth-3"),"Проверка потоков OAuth 2.0 (MSTG-AUTH-1 and MSTG-AUTH-3)")</f>
        <v>Проверка потоков OAuth 2.0 (MSTG-AUTH-1 and MSTG-AUTH-3)</v>
      </c>
      <c r="K36" s="73"/>
    </row>
    <row r="37" customFormat="false" ht="23.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HYPERLINK(CONCATENATE(BASE_URL,"0x04e-Testing-Authentication-and-Session-Management.md#testing-stateful-session-management-mstg-auth-2"),"Тестирование аутентификации на основе сессии(MSTG-AUTH-2)")</f>
        <v>Тестирование аутентификации на основе сессии(MSTG-AUTH-2)</v>
      </c>
      <c r="I37" s="76"/>
      <c r="J37" s="76"/>
      <c r="K37" s="73"/>
    </row>
    <row r="38" customFormat="false" ht="23.85" hidden="false" customHeight="false" outlineLevel="0" collapsed="false">
      <c r="B38" s="87" t="s">
        <v>159</v>
      </c>
      <c r="C38" s="88" t="s">
        <v>160</v>
      </c>
      <c r="D38" s="96" t="s">
        <v>161</v>
      </c>
      <c r="E38" s="68" t="s">
        <v>64</v>
      </c>
      <c r="F38" s="69" t="s">
        <v>64</v>
      </c>
      <c r="G38" s="70"/>
      <c r="H38" s="89" t="str">
        <f aca="false">HYPERLINK(CONCATENATE(BASE_URL,"0x04e-Testing-Authentication-and-Session-Management.md#testing-stateless-token-based-authentication-mstg-auth-3"),"Тестирование аутентификации на основе токена (MSTG-AUTH-3)")</f>
        <v>Тестирование аутентификации на основе токена (MSTG-AUTH-3)</v>
      </c>
      <c r="I38" s="75" t="str">
        <f aca="false">HYPERLINK(CONCATENATE(BASE_URL,"0x04e-Testing-Authentication-and-Session-Management.md#testing-oauth-20-flows-mstg-auth-1-and-mstg-auth-3"),"Проверка потоков OAuth 2.0  (MSTG-AUTH-1 and MSTG-AUTH-3)")</f>
        <v>Проверка потоков OAuth 2.0  (MSTG-AUTH-1 and MSTG-AUTH-3)</v>
      </c>
      <c r="J38" s="76"/>
      <c r="K38" s="73"/>
      <c r="M38" s="97"/>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HYPERLINK(CONCATENATE(BASE_URL,"0x04e-Testing-Authentication-and-Session-Management.md#testing-user-logout-mstg-auth-4"),"Тестирование деаутентификации пользователя (MSTG-AUTH-4)")</f>
        <v>Тестирование деаутентификации пользователя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0" s="76"/>
      <c r="J40" s="76"/>
      <c r="K40" s="73"/>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1" s="75" t="str">
        <f aca="false">HYPERLINK(CONCATENATE(BASE_URL,"0x04e-Testing-Authentication-and-Session-Management.md#dynamic-testing-mstg-auth-6"),"Динамическое тестирование (MSTG-AUTH-6)")</f>
        <v>Динамическое тестирование (MSTG-AUTH-6)</v>
      </c>
      <c r="J41" s="72"/>
      <c r="K41" s="73"/>
    </row>
    <row r="42" customFormat="false" ht="23.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HYPERLINK(CONCATENATE(BASE_URL,"0x04e-Testing-Authentication-and-Session-Management.md#testing-session-timeout-mstg-auth-7"),"Тестирование таймаута сессии (MSTG-AUTH-7)")</f>
        <v>Тестирование таймаута сессии (MSTG-AUTH-7)</v>
      </c>
      <c r="I42" s="97"/>
      <c r="J42" s="9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HYPERLINK(CONCATENATE(BASE_URL,"0x05f-Testing-Local-Authentication.md#testing-biometric-authentication-mstg-auth-8"),"Тестирование биометрической аутентификации (MSTG-AUTH-8)")</f>
        <v>Тестирование биометрической аутентификации (MSTG-AUTH-8)</v>
      </c>
      <c r="I43" s="76"/>
      <c r="J43" s="72"/>
      <c r="K43" s="73"/>
    </row>
    <row r="44" customFormat="false" ht="15" hidden="false" customHeight="false" outlineLevel="0" collapsed="false">
      <c r="B44" s="87" t="s">
        <v>177</v>
      </c>
      <c r="C44" s="88" t="s">
        <v>178</v>
      </c>
      <c r="D44" s="96" t="s">
        <v>179</v>
      </c>
      <c r="E44" s="93"/>
      <c r="F44" s="69" t="s">
        <v>64</v>
      </c>
      <c r="G44" s="70" t="s">
        <v>77</v>
      </c>
      <c r="H44"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5" s="76"/>
      <c r="J45" s="76"/>
      <c r="K45" s="73"/>
    </row>
    <row r="46" customFormat="false" ht="35.05" hidden="false" customHeight="false" outlineLevel="0" collapsed="false">
      <c r="B46" s="87" t="s">
        <v>183</v>
      </c>
      <c r="C46" s="88" t="s">
        <v>184</v>
      </c>
      <c r="D46" s="96" t="s">
        <v>185</v>
      </c>
      <c r="E46" s="93"/>
      <c r="F46" s="69" t="s">
        <v>64</v>
      </c>
      <c r="G46" s="70" t="s">
        <v>77</v>
      </c>
      <c r="H46" s="100" t="str">
        <f aca="false">HYPERLINK(CONCATENATE(BASE_URL,"0x04e-Testing-Authentication-and-Session-Management.md#testing-login-activity-and-device-blocking-mstg-auth-11"),"Тестирование активности входа и блокировки устройства (MSTG-AUTH-11)")</f>
        <v>Тестирование активности входа и блокировки устройства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3.85" hidden="false" customHeight="false" outlineLevel="0" collapsed="false">
      <c r="B48" s="87" t="s">
        <v>188</v>
      </c>
      <c r="C48" s="88" t="s">
        <v>189</v>
      </c>
      <c r="D48" s="92" t="s">
        <v>190</v>
      </c>
      <c r="E48" s="68" t="s">
        <v>64</v>
      </c>
      <c r="F48" s="69" t="s">
        <v>64</v>
      </c>
      <c r="G48" s="70"/>
      <c r="H48"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8" s="76"/>
      <c r="J48" s="76"/>
      <c r="K48" s="73"/>
    </row>
    <row r="49" customFormat="false" ht="23.85" hidden="false" customHeight="false" outlineLevel="0" collapsed="false">
      <c r="B49" s="87" t="s">
        <v>191</v>
      </c>
      <c r="C49" s="88" t="s">
        <v>192</v>
      </c>
      <c r="D49" s="96" t="s">
        <v>193</v>
      </c>
      <c r="E49" s="68" t="s">
        <v>64</v>
      </c>
      <c r="F49" s="69" t="s">
        <v>64</v>
      </c>
      <c r="G49" s="70"/>
      <c r="H49"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9" s="76"/>
      <c r="J49" s="76"/>
      <c r="K49" s="73"/>
    </row>
    <row r="50" customFormat="false" ht="23.85" hidden="false" customHeight="false" outlineLevel="0" collapsed="false">
      <c r="B50" s="87" t="s">
        <v>194</v>
      </c>
      <c r="C50" s="88" t="s">
        <v>195</v>
      </c>
      <c r="D50" s="96" t="s">
        <v>196</v>
      </c>
      <c r="E50" s="68" t="s">
        <v>64</v>
      </c>
      <c r="F50" s="69" t="s">
        <v>64</v>
      </c>
      <c r="G50" s="70"/>
      <c r="H50" s="90" t="str">
        <f aca="false">HYPERLINK(CONCATENATE(BASE_URL,"0x05g-Testing-Network-Communication.md#testing-endpoint-identify-verification-mstg-network-3"),"Проверка идентификации конечной точки (MSTG-NETWORK-3)")</f>
        <v>Проверка идентификации конечной точки (MSTG-NETWORK-3)</v>
      </c>
      <c r="I50" s="75"/>
      <c r="J50" s="101"/>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HYPERLINK(CONCATENATE(BASE_URL,"0x05g-Testing-Network-Communication.md#testing-custom-certificate-stores-and-certificate-pinning-mstg-network-4"),"Тестирование пользовательских хранилищ сертификатов и сохраненных сертификатов (MSTG-NETWORK-4)")</f>
        <v>Тестирование пользовательских хранилищ сертификатов и сохраненных сертификатов (MSTG-NETWORK-4)</v>
      </c>
      <c r="I51" s="90" t="str">
        <f aca="false">HYPERLINK(CONCATENATE(BASE_URL,"0x05g-Testing-Network-Communication.md#testing-the-network-security-configuration-settings-mstg-network-4"),"Тестирование настроек конфигурации безопасности сети (MSTG-NETWORK-4)")</f>
        <v>Тестирование настроек конфигурации безопасности сети (MSTG-NETWORK-4)</v>
      </c>
      <c r="J51" s="72"/>
      <c r="K51" s="73"/>
    </row>
    <row r="52" customFormat="false" ht="23.85" hidden="false" customHeight="false" outlineLevel="0" collapsed="false">
      <c r="B52" s="87" t="s">
        <v>200</v>
      </c>
      <c r="C52" s="88" t="s">
        <v>201</v>
      </c>
      <c r="D52" s="96" t="s">
        <v>202</v>
      </c>
      <c r="E52" s="93"/>
      <c r="F52" s="69" t="s">
        <v>64</v>
      </c>
      <c r="G52" s="70" t="s">
        <v>77</v>
      </c>
      <c r="H52" s="90" t="str">
        <f aca="false">HYPERLINK(CONCATENATE(BASE_URL,"0x04f-Testing-Network-Communication.md#making-sure-that-critical-operations-use-secure-communication-channels-mstg-network-5"),"Убедитесь, что для критических операций используются безопасные каналы связи (MSTG-NETWORK-5)")</f>
        <v>Убедитесь, что для критических операций используются безопасные каналы связи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HYPERLINK(CONCATENATE(BASE_URL,"0x05g-Testing-Network-Communication.md#testing-the-security-provider-mstg-network-6"),"Тестирование провайдера безопасности (MSTG-NETWORK-6)")</f>
        <v>Тестирование провайдера безопасности (MSTG-NETWORK-6)</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HYPERLINK(CONCATENATE(BASE_URL,"0x05h-Testing-Platform-Interaction.md#testing-app-permissions-mstg-platform-1"),"Testing App Permissions (MSTG-PLATFORM-1)")</f>
        <v>Testing App Permissions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HYPERLINK(CONCATENATE(BASE_URL,"0x04h-Testing-Code-Quality.md#testing-for-injection-flaws-mstg-platform-2"),"Testing for Injection Flaws (MSTG-PLATFORM-2)")</f>
        <v>Testing for Injection Flaws (MSTG-PLATFORM-2)</v>
      </c>
      <c r="I56" s="90" t="str">
        <f aca="false">HYPERLINK(CONCATENATE(BASE_URL,"0x04h-Testing-Code-Quality.md#testing-for-fragment-injection-mstg-platform-2"),"Testing for Fragment Injection (MSTG-PLATFORM-2)")</f>
        <v>Testing for Fragment Injection (MSTG-PLATFORM-2)</v>
      </c>
      <c r="J56" s="72"/>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HYPERLINK(CONCATENATE(BASE_URL,"0x05h-Testing-Platform-Interaction.md#testing-custom-url-schemes-mstg-platform-3"),"Testing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90" t="str">
        <f aca="false">HYPERLINK(CONCATENATE(BASE_URL,"0x05h-Testing-Platform-Interaction.md#testing-for-sensitive-functionality-exposure-through-ipc-mstg-platform-4"),"Testing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HYPERLINK(CONCATENATE(BASE_URL,"0x05h-Testing-Platform-Interaction.md#testing-javascript-execution-in-webviews-mstg-platform-5"),"Testing JavaScript Execution in WebViews (MSTG-PLATFORM-5)")</f>
        <v>Testing JavaScript Execution in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HYPERLINK(CONCATENATE(BASE_URL,"0x05h-Testing-Platform-Interaction.md#testing-webview-protocol-handlers-mstg-platform-6"),"Testing WebView Protocol Handlers (MSTG-PLATFORM-6)")</f>
        <v>Testing WebView Protocol Handlers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HYPERLINK(CONCATENATE(BASE_URL,"0x05h-Testing-Platform-Interaction.md#determining-whether-java-objects-are-exposed-through-webviews-mstg-platform-7"),"Determining Whether Java Objects Are Exposed Through WebViews (MSTG-PLATFORM-7)")</f>
        <v>Determining Whether Java Objects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HYPERLINK(CONCATENATE(BASE_URL,"0x05h-Testing-Platform-Interaction.md#testing-object-persistence-mstg-platform-8"),"Testing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HYPERLINK(CONCATENATE(BASE_URL,"0x05i-Testing-Code-Quality-and-Build-Settings.md#making-sure-that-the-app-is-properly-signed-mstg-code-1"),"Making Sure That the App is Properly Signed (MSTG-CODE-1)")</f>
        <v>Making Sure That the App is Properly Signed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HYPERLINK(CONCATENATE(BASE_URL,"0x05i-Testing-Code-Quality-and-Build-Settings.md#testing-whether-the-app-is-debuggable-mstg-code-2"),"Testing Whether the App is Debuggable (MSTG-CODE-2)")</f>
        <v>Testing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HYPERLINK(CONCATENATE(BASE_URL,"0x05i-Testing-Code-Quality-and-Build-Settings.md#testing-for-debugging-symbols-mstg-code-3"),"Testing for Debugging Symbols (MSTG-CODE-3)")</f>
        <v>Testing for Debugging Symbols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HYPERLINK(CONCATENATE(BASE_URL,"0x05i-Testing-Code-Quality-and-Build-Settings.md#testing-for-debugging-code-and-verbose-error-logging-mstg-code-4"),"Testing for Debugging Code and Verbose Error Logging (MSTG-CODE-4)")</f>
        <v>Testing for Debugging Code and Verbose Error Logging (MSTG-CODE-4)</v>
      </c>
      <c r="I67" s="76"/>
      <c r="J67" s="76"/>
      <c r="K67" s="73"/>
    </row>
    <row r="68" customFormat="false" ht="23.85" hidden="false" customHeight="false" outlineLevel="0" collapsed="false">
      <c r="B68" s="87" t="s">
        <v>246</v>
      </c>
      <c r="C68" s="88" t="s">
        <v>247</v>
      </c>
      <c r="D68" s="67" t="s">
        <v>248</v>
      </c>
      <c r="E68" s="68" t="s">
        <v>64</v>
      </c>
      <c r="F68" s="69" t="s">
        <v>64</v>
      </c>
      <c r="G68" s="70"/>
      <c r="H68" s="100" t="str">
        <f aca="false">HYPERLINK(CONCATENATE(BASE_URL,"0x05i-Testing-Code-Quality-and-Build-Settings.md#checking-for-weaknesses-in-third-party-libraries-mstg-code-5"),"Checking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HYPERLINK(CONCATENATE(BASE_URL,"0x05i-Testing-Code-Quality-and-Build-Settings.md#testing-exception-handling-mstg-code-6-and-mstg-code-7"),"Testing Exception Handling (MSTG-CODE-6 and MSTG-CODE-7)")</f>
        <v>Testing Exception Handling (MSTG-CODE-6 and MSTG-CODE-7)</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HYPERLINK(CONCATENATE(BASE_URL,"0x05i-Testing-Code-Quality-and-Build-Settings.md#testing-exception-handling-mstg-code-6-and-mstg-code-7"),"Testing Exception Handling (MSTG-CODE-6 and MSTG-CODE-7)")</f>
        <v>Testing Exception Handling (MSTG-CODE-6 and MSTG-CODE-7)</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HYPERLINK(CONCATENATE(BASE_URL,"0x04h-Testing-Code-Quality.md#memory-corruption-bugs-mstg-code-8"),"Memory Corruption Bugs (MSTG-CODE-8)")</f>
        <v>Memory Corruption Bugs (MSTG-CODE-8)</v>
      </c>
      <c r="I71" s="76"/>
      <c r="J71" s="76"/>
      <c r="K71" s="103"/>
      <c r="L71" s="104"/>
    </row>
    <row r="72" customFormat="false" ht="23.85" hidden="false" customHeight="false" outlineLevel="0" collapsed="false">
      <c r="B72" s="87" t="s">
        <v>258</v>
      </c>
      <c r="C72" s="88" t="s">
        <v>259</v>
      </c>
      <c r="D72" s="67" t="s">
        <v>260</v>
      </c>
      <c r="E72" s="68" t="s">
        <v>64</v>
      </c>
      <c r="F72" s="69" t="s">
        <v>64</v>
      </c>
      <c r="G72" s="70"/>
      <c r="H72" s="90" t="str">
        <f aca="false">HYPERLINK(CONCATENATE(BASE_URL,"0x05i-Testing-Code-Quality-and-Build-Settings.md#make-sure-that-free-security-features-are-activated-mstg-code-9"),"Make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09"/>
      <c r="K73" s="110"/>
    </row>
    <row r="74" customFormat="false" ht="15.6" hidden="false" customHeight="false" outlineLevel="0" collapsed="false">
      <c r="B74" s="111"/>
      <c r="C74" s="111"/>
      <c r="D74" s="112"/>
      <c r="E74" s="113"/>
      <c r="F74" s="113"/>
      <c r="G74" s="113"/>
      <c r="H74" s="114"/>
      <c r="I74" s="114"/>
      <c r="J74" s="114"/>
      <c r="K74" s="112"/>
    </row>
    <row r="75" customFormat="false" ht="15.6" hidden="false" customHeight="false" outlineLevel="0" collapsed="false">
      <c r="B75" s="111"/>
      <c r="C75" s="111"/>
      <c r="D75" s="96"/>
      <c r="E75" s="113"/>
      <c r="F75" s="113"/>
      <c r="G75" s="113"/>
      <c r="H75" s="114"/>
      <c r="I75" s="114"/>
      <c r="J75" s="114"/>
      <c r="K75" s="112"/>
    </row>
    <row r="76" customFormat="false" ht="15.6" hidden="false" customHeight="false" outlineLevel="0" collapsed="false">
      <c r="B76" s="111"/>
      <c r="C76" s="111"/>
      <c r="D76" s="112"/>
      <c r="E76" s="113"/>
      <c r="F76" s="113"/>
      <c r="G76" s="113"/>
      <c r="H76" s="114"/>
      <c r="I76" s="114"/>
      <c r="J76" s="114"/>
      <c r="K76" s="112"/>
    </row>
    <row r="77" customFormat="false" ht="15.6" hidden="false" customHeight="false" outlineLevel="0" collapsed="false">
      <c r="B77" s="115" t="s">
        <v>261</v>
      </c>
      <c r="C77" s="115"/>
      <c r="D77" s="112"/>
      <c r="E77" s="113"/>
      <c r="F77" s="113"/>
      <c r="G77" s="113"/>
      <c r="H77" s="114"/>
      <c r="I77" s="114"/>
      <c r="J77" s="114"/>
      <c r="K77" s="112"/>
    </row>
    <row r="78" customFormat="false" ht="15" hidden="false" customHeight="false" outlineLevel="0" collapsed="false">
      <c r="B78" s="116" t="s">
        <v>262</v>
      </c>
      <c r="C78" s="116"/>
      <c r="D78" s="117" t="s">
        <v>263</v>
      </c>
      <c r="E78" s="113"/>
      <c r="F78" s="113"/>
      <c r="G78" s="113"/>
      <c r="H78" s="114"/>
      <c r="I78" s="114"/>
      <c r="J78" s="114"/>
      <c r="K78" s="112"/>
    </row>
    <row r="79" customFormat="false" ht="15" hidden="false" customHeight="false" outlineLevel="0" collapsed="false">
      <c r="B79" s="118" t="s">
        <v>264</v>
      </c>
      <c r="C79" s="118"/>
      <c r="D79" s="119" t="s">
        <v>265</v>
      </c>
      <c r="E79" s="113"/>
      <c r="F79" s="113"/>
      <c r="G79" s="113"/>
      <c r="H79" s="114"/>
      <c r="I79" s="114"/>
      <c r="J79" s="114"/>
      <c r="K79" s="112"/>
    </row>
    <row r="80" customFormat="false" ht="15" hidden="false" customHeight="false" outlineLevel="0" collapsed="false">
      <c r="B80" s="118" t="s">
        <v>266</v>
      </c>
      <c r="C80" s="118"/>
      <c r="D80" s="119" t="s">
        <v>267</v>
      </c>
      <c r="E80" s="113"/>
      <c r="F80" s="113"/>
      <c r="G80" s="113"/>
      <c r="H80" s="114"/>
      <c r="I80" s="114"/>
      <c r="J80" s="114"/>
      <c r="K80" s="112"/>
    </row>
    <row r="81" customFormat="false" ht="15" hidden="false" customHeight="false" outlineLevel="0" collapsed="false">
      <c r="B81" s="118" t="s">
        <v>77</v>
      </c>
      <c r="C81" s="118"/>
      <c r="D81" s="119" t="s">
        <v>268</v>
      </c>
      <c r="E81" s="113"/>
      <c r="F81" s="113"/>
      <c r="G81" s="113"/>
      <c r="H81" s="114"/>
      <c r="I81" s="114"/>
      <c r="J81" s="114"/>
      <c r="K81" s="112"/>
    </row>
    <row r="82" customFormat="false" ht="15.6" hidden="false" customHeight="false" outlineLevel="0" collapsed="false">
      <c r="B82" s="111"/>
      <c r="C82" s="111"/>
      <c r="D82" s="112"/>
      <c r="E82" s="113"/>
      <c r="F82" s="113"/>
      <c r="G82" s="113"/>
      <c r="H82" s="114"/>
      <c r="I82" s="114"/>
      <c r="J82" s="114"/>
      <c r="K82" s="112"/>
    </row>
    <row r="83" customFormat="false" ht="15.6" hidden="false" customHeight="false" outlineLevel="0" collapsed="false">
      <c r="B83" s="111"/>
      <c r="C83" s="111"/>
      <c r="D83" s="112"/>
      <c r="E83" s="113"/>
      <c r="F83" s="113"/>
      <c r="G83" s="113"/>
      <c r="H83" s="114"/>
      <c r="I83" s="114"/>
      <c r="J83" s="114"/>
      <c r="K83" s="112"/>
    </row>
    <row r="84" customFormat="false" ht="15.6" hidden="false" customHeight="false" outlineLevel="0" collapsed="false">
      <c r="B84" s="111"/>
      <c r="C84" s="111"/>
      <c r="D84" s="112"/>
      <c r="E84" s="113"/>
      <c r="F84" s="113"/>
      <c r="G84" s="113"/>
      <c r="H84" s="114"/>
      <c r="I84" s="114"/>
      <c r="J84" s="114"/>
      <c r="K84" s="112"/>
    </row>
    <row r="85" customFormat="false" ht="15.6" hidden="false" customHeight="false" outlineLevel="0" collapsed="false">
      <c r="B85" s="111"/>
      <c r="C85" s="111"/>
      <c r="D85" s="112"/>
      <c r="E85" s="113"/>
      <c r="F85" s="113"/>
      <c r="G85" s="113"/>
      <c r="H85" s="114"/>
      <c r="I85" s="114"/>
      <c r="J85" s="114"/>
      <c r="K85" s="112"/>
    </row>
  </sheetData>
  <mergeCells count="2">
    <mergeCell ref="B1:K1"/>
    <mergeCell ref="H3:I3"/>
  </mergeCells>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B1:H29"/>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B1" activeCellId="0" sqref="B1"/>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7.3"/>
    <col collapsed="false" customWidth="true" hidden="false" outlineLevel="0" max="3" min="3" style="46" width="16.9"/>
    <col collapsed="false" customWidth="true" hidden="false" outlineLevel="0" max="4" min="4" style="47" width="97.3"/>
    <col collapsed="false" customWidth="true" hidden="false" outlineLevel="0" max="5" min="5" style="45" width="3"/>
    <col collapsed="false" customWidth="true" hidden="false" outlineLevel="0" max="6" min="6" style="45" width="5.79"/>
    <col collapsed="false" customWidth="true" hidden="false" outlineLevel="0" max="7" min="7" style="0" width="69.2"/>
    <col collapsed="false" customWidth="true" hidden="false" outlineLevel="0" max="8" min="8" style="47" width="30.7"/>
    <col collapsed="false" customWidth="false" hidden="false" outlineLevel="0" max="1024" min="9" style="45" width="11"/>
  </cols>
  <sheetData>
    <row r="1" customFormat="false" ht="18" hidden="false" customHeight="false" outlineLevel="0" collapsed="false">
      <c r="B1" s="120" t="s">
        <v>269</v>
      </c>
      <c r="C1" s="120"/>
      <c r="D1" s="112"/>
      <c r="E1" s="113"/>
      <c r="F1" s="113"/>
      <c r="G1" s="114"/>
      <c r="H1" s="112"/>
    </row>
    <row r="2" customFormat="false" ht="15.6" hidden="false" customHeight="false" outlineLevel="0" collapsed="false">
      <c r="B2" s="111"/>
      <c r="C2" s="111"/>
      <c r="D2" s="112"/>
      <c r="E2" s="113"/>
      <c r="F2" s="113"/>
      <c r="G2" s="114"/>
      <c r="H2" s="11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3.85" hidden="false" customHeight="false" outlineLevel="0" collapsed="false">
      <c r="B5" s="65" t="s">
        <v>276</v>
      </c>
      <c r="C5" s="66" t="s">
        <v>277</v>
      </c>
      <c r="D5" s="96" t="s">
        <v>278</v>
      </c>
      <c r="E5" s="123" t="s">
        <v>64</v>
      </c>
      <c r="F5" s="70" t="s">
        <v>77</v>
      </c>
      <c r="G5" s="124" t="str">
        <f aca="false">HYPERLINK(CONCATENATE(BASE_URL,"0x05j-Testing-Resiliency-Against-Reverse-Engineering.md#testing-root-detection-mstg-resilience-1"),"Testing Root Detection (MSTG-RESILIENCE-1)")</f>
        <v>Testing Root Detection (MSTG-RESILIENCE-1)</v>
      </c>
      <c r="H5" s="125"/>
    </row>
    <row r="6" customFormat="false" ht="23.85" hidden="false" customHeight="false" outlineLevel="0" collapsed="false">
      <c r="B6" s="65" t="s">
        <v>279</v>
      </c>
      <c r="C6" s="66" t="s">
        <v>280</v>
      </c>
      <c r="D6" s="96" t="s">
        <v>281</v>
      </c>
      <c r="E6" s="123" t="s">
        <v>64</v>
      </c>
      <c r="F6" s="70" t="s">
        <v>77</v>
      </c>
      <c r="G6" s="126" t="str">
        <f aca="false">HYPERLINK(CONCATENATE(BASE_URL,"0x05j-Testing-Resiliency-Against-Reverse-Engineering.md#testing-anti-debugging-detection-mstg-resilience-2"),"Testing Anti-Debugging Detection (MSTG-RESILIENCE-2)")</f>
        <v>Testing Anti-Debugging Detection (MSTG-RESILIENCE-2)</v>
      </c>
      <c r="H6" s="125"/>
    </row>
    <row r="7" customFormat="false" ht="23.85" hidden="false" customHeight="false" outlineLevel="0" collapsed="false">
      <c r="B7" s="65" t="s">
        <v>282</v>
      </c>
      <c r="C7" s="66" t="s">
        <v>283</v>
      </c>
      <c r="D7" s="92" t="s">
        <v>284</v>
      </c>
      <c r="E7" s="123" t="s">
        <v>64</v>
      </c>
      <c r="F7" s="70" t="s">
        <v>77</v>
      </c>
      <c r="G7" s="124" t="str">
        <f aca="false">HYPERLINK(CONCATENATE(BASE_URL,"0x05j-Testing-Resiliency-Against-Reverse-Engineering.md#testing-file-integrity-checks-mstg-resilience-3"),"Testing File Integrity Checks (MSTG-RESILIENCE-3)")</f>
        <v>Testing File Integrity Checks (MSTG-RESILIENCE-3)</v>
      </c>
      <c r="H7" s="125"/>
    </row>
    <row r="8" customFormat="false" ht="23.85" hidden="false" customHeight="false" outlineLevel="0" collapsed="false">
      <c r="B8" s="65" t="s">
        <v>285</v>
      </c>
      <c r="C8" s="66" t="s">
        <v>286</v>
      </c>
      <c r="D8" s="92" t="s">
        <v>287</v>
      </c>
      <c r="E8" s="123" t="s">
        <v>64</v>
      </c>
      <c r="F8" s="70" t="s">
        <v>77</v>
      </c>
      <c r="G8" s="124" t="str">
        <f aca="false">HYPERLINK(CONCATENATE(BASE_URL,"0x05j-Testing-Resiliency-Against-Reverse-Engineering.md#testing-reverse-engineering-tools-detection-mstg-resilience-4"),"Testing Reverse Engineering Tools Detection (MSTG-RESILIENCE-4)")</f>
        <v>Testing Reverse Engineering Tools Detection (MSTG-RESILIENCE-4)</v>
      </c>
      <c r="H8" s="125"/>
    </row>
    <row r="9" customFormat="false" ht="15" hidden="false" customHeight="false" outlineLevel="0" collapsed="false">
      <c r="B9" s="65" t="s">
        <v>288</v>
      </c>
      <c r="C9" s="66" t="s">
        <v>289</v>
      </c>
      <c r="D9" s="92" t="s">
        <v>290</v>
      </c>
      <c r="E9" s="123" t="s">
        <v>64</v>
      </c>
      <c r="F9" s="70" t="s">
        <v>77</v>
      </c>
      <c r="G9" s="124" t="str">
        <f aca="false">HYPERLINK(CONCATENATE(BASE_URL,"0x05j-Testing-Resiliency-Against-Reverse-Engineering.md#testing-emulator-detection-mstg-resilience-5"),"Testing Emulator Detection (MSTG-RESILIENCE-5)")</f>
        <v>Testing Emulator Detection (MSTG-RESILIENCE-5)</v>
      </c>
      <c r="H9" s="125"/>
    </row>
    <row r="10" customFormat="false" ht="15" hidden="false" customHeight="false" outlineLevel="0" collapsed="false">
      <c r="B10" s="65" t="s">
        <v>291</v>
      </c>
      <c r="C10" s="66" t="s">
        <v>292</v>
      </c>
      <c r="D10" s="92" t="s">
        <v>293</v>
      </c>
      <c r="E10" s="123" t="s">
        <v>64</v>
      </c>
      <c r="F10" s="70" t="s">
        <v>77</v>
      </c>
      <c r="G10" s="124" t="str">
        <f aca="false">HYPERLINK(CONCATENATE(BASE_URL,"0x05j-Testing-Resiliency-Against-Reverse-Engineering.md#testing-run-time-integrity-checks-mstg-resilience-6"),"Testing Run Time Integrity Checks (MSTG-RESILIENCE-6)")</f>
        <v>Testing Run Time Integrity Checks (MSTG-RESILIENCE-6)</v>
      </c>
      <c r="H10" s="125"/>
    </row>
    <row r="11" customFormat="false" ht="23.85" hidden="false" customHeight="false" outlineLevel="0" collapsed="false">
      <c r="B11" s="65" t="s">
        <v>294</v>
      </c>
      <c r="C11" s="66" t="s">
        <v>295</v>
      </c>
      <c r="D11" s="96" t="s">
        <v>296</v>
      </c>
      <c r="E11" s="123" t="s">
        <v>64</v>
      </c>
      <c r="F11" s="70" t="s">
        <v>77</v>
      </c>
      <c r="G11" s="127" t="s">
        <v>297</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3.85" hidden="false" customHeight="false" outlineLevel="0" collapsed="false">
      <c r="B13" s="65" t="s">
        <v>302</v>
      </c>
      <c r="C13" s="66" t="s">
        <v>303</v>
      </c>
      <c r="D13" s="92" t="s">
        <v>304</v>
      </c>
      <c r="E13" s="123" t="s">
        <v>64</v>
      </c>
      <c r="F13" s="70" t="s">
        <v>77</v>
      </c>
      <c r="G13" s="124" t="str">
        <f aca="false">HYPERLINK(CONCATENATE(BASE_URL,"0x05j-Testing-Resiliency-Against-Reverse-Engineering.md#testing-obfuscation-mstg-resilience-9"),"Testing Obfuscation (MSTG-RESILIENCE-9)")</f>
        <v>Testing Obfuscation (MSTG-RESILIENCE-9)</v>
      </c>
      <c r="H13" s="125"/>
    </row>
    <row r="14" customFormat="false" ht="15" hidden="false" customHeight="false" outlineLevel="0" collapsed="false">
      <c r="B14" s="79"/>
      <c r="C14" s="80"/>
      <c r="D14" s="81" t="s">
        <v>305</v>
      </c>
      <c r="E14" s="82"/>
      <c r="F14" s="82"/>
      <c r="G14" s="122"/>
      <c r="H14" s="86"/>
    </row>
    <row r="15" customFormat="false" ht="23.85" hidden="false" customHeight="false" outlineLevel="0" collapsed="false">
      <c r="B15" s="65" t="s">
        <v>306</v>
      </c>
      <c r="C15" s="66" t="s">
        <v>307</v>
      </c>
      <c r="D15" s="96" t="s">
        <v>308</v>
      </c>
      <c r="E15" s="123" t="s">
        <v>64</v>
      </c>
      <c r="F15" s="70" t="s">
        <v>77</v>
      </c>
      <c r="G15" s="124" t="str">
        <f aca="false">HYPERLINK(CONCATENATE(BASE_URL,"0x05j-Testing-Resiliency-Against-Reverse-Engineering.md#testing-device-binding-mstg-resilience-10"),"Testing Device Binding (MSTG-RESILIENCE-10)")</f>
        <v>Testing Device Binding (MSTG-RESILIENCE-10)</v>
      </c>
      <c r="H15" s="125"/>
    </row>
    <row r="16" customFormat="false" ht="15" hidden="false" customHeight="false" outlineLevel="0" collapsed="false">
      <c r="B16" s="79"/>
      <c r="C16" s="80"/>
      <c r="D16" s="81" t="s">
        <v>309</v>
      </c>
      <c r="E16" s="82"/>
      <c r="F16" s="82"/>
      <c r="G16" s="122"/>
      <c r="H16" s="86"/>
    </row>
    <row r="17" customFormat="false" ht="35.05" hidden="false" customHeight="false" outlineLevel="0" collapsed="false">
      <c r="B17" s="65" t="s">
        <v>310</v>
      </c>
      <c r="C17" s="66" t="s">
        <v>311</v>
      </c>
      <c r="D17" s="96" t="s">
        <v>312</v>
      </c>
      <c r="E17" s="123" t="s">
        <v>64</v>
      </c>
      <c r="F17" s="70" t="s">
        <v>77</v>
      </c>
      <c r="G17" s="124" t="str">
        <f aca="false">HYPERLINK(CONCATENATE(BASE_URL,"0x05j-Testing-Resiliency-Against-Reverse-Engineering.md#testing-obfuscation-mstg-resilience-9"),"Testing Obfuscation (MSTG-RESILIENCE-9)")</f>
        <v>Testing Obfuscation (MSTG-RESILIENCE-9)</v>
      </c>
      <c r="H17" s="125"/>
    </row>
    <row r="18" customFormat="false" ht="57.45" hidden="false" customHeight="false" outlineLevel="0" collapsed="false">
      <c r="B18" s="65" t="s">
        <v>313</v>
      </c>
      <c r="C18" s="66" t="s">
        <v>314</v>
      </c>
      <c r="D18" s="96" t="s">
        <v>315</v>
      </c>
      <c r="E18" s="123" t="s">
        <v>64</v>
      </c>
      <c r="F18" s="70" t="s">
        <v>77</v>
      </c>
      <c r="G18" s="128" t="s">
        <v>297</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11"/>
      <c r="C20" s="111"/>
      <c r="D20" s="112"/>
      <c r="E20" s="113"/>
      <c r="F20" s="113"/>
      <c r="G20" s="114"/>
      <c r="H20" s="112"/>
    </row>
    <row r="21" customFormat="false" ht="15.6" hidden="false" customHeight="false" outlineLevel="0" collapsed="false">
      <c r="B21" s="111"/>
      <c r="C21" s="111"/>
      <c r="D21" s="112"/>
      <c r="E21" s="113"/>
      <c r="F21" s="113"/>
      <c r="G21" s="114"/>
      <c r="H21" s="112"/>
    </row>
    <row r="22" customFormat="false" ht="15" hidden="false" customHeight="false" outlineLevel="0" collapsed="false">
      <c r="B22" s="115" t="s">
        <v>261</v>
      </c>
      <c r="C22" s="115"/>
      <c r="D22" s="112"/>
      <c r="E22" s="113"/>
      <c r="F22" s="113"/>
      <c r="G22" s="114"/>
      <c r="H22" s="112"/>
    </row>
    <row r="23" customFormat="false" ht="15" hidden="false" customHeight="false" outlineLevel="0" collapsed="false">
      <c r="B23" s="116" t="s">
        <v>262</v>
      </c>
      <c r="C23" s="116"/>
      <c r="D23" s="117" t="s">
        <v>263</v>
      </c>
      <c r="E23" s="113"/>
      <c r="F23" s="113"/>
      <c r="G23" s="114"/>
      <c r="H23" s="112"/>
    </row>
    <row r="24" customFormat="false" ht="15" hidden="false" customHeight="false" outlineLevel="0" collapsed="false">
      <c r="B24" s="118" t="s">
        <v>264</v>
      </c>
      <c r="C24" s="118"/>
      <c r="D24" s="119" t="s">
        <v>265</v>
      </c>
      <c r="E24" s="113"/>
      <c r="F24" s="113"/>
      <c r="G24" s="114"/>
      <c r="H24" s="112"/>
    </row>
    <row r="25" customFormat="false" ht="15" hidden="false" customHeight="false" outlineLevel="0" collapsed="false">
      <c r="B25" s="118" t="s">
        <v>266</v>
      </c>
      <c r="C25" s="118"/>
      <c r="D25" s="119" t="s">
        <v>267</v>
      </c>
      <c r="E25" s="113"/>
      <c r="F25" s="113"/>
      <c r="G25" s="114"/>
      <c r="H25" s="112"/>
    </row>
    <row r="26" customFormat="false" ht="15" hidden="false" customHeight="false" outlineLevel="0" collapsed="false">
      <c r="B26" s="118" t="s">
        <v>77</v>
      </c>
      <c r="C26" s="118"/>
      <c r="D26" s="119" t="s">
        <v>268</v>
      </c>
      <c r="E26" s="113"/>
      <c r="F26" s="113"/>
      <c r="G26" s="114"/>
      <c r="H26" s="112"/>
    </row>
    <row r="27" customFormat="false" ht="15.6" hidden="false" customHeight="false" outlineLevel="0" collapsed="false">
      <c r="B27" s="111"/>
      <c r="C27" s="111"/>
      <c r="D27" s="112"/>
      <c r="E27" s="113"/>
      <c r="F27" s="113"/>
      <c r="G27" s="114"/>
      <c r="H27" s="112"/>
    </row>
    <row r="28" customFormat="false" ht="15.6" hidden="false" customHeight="false" outlineLevel="0" collapsed="false">
      <c r="B28" s="111"/>
      <c r="C28" s="111"/>
      <c r="D28" s="112"/>
      <c r="E28" s="113"/>
      <c r="F28" s="113"/>
      <c r="G28" s="114"/>
      <c r="H28" s="112"/>
    </row>
    <row r="29" customFormat="false" ht="15.6" hidden="false" customHeight="false" outlineLevel="0" collapsed="false">
      <c r="B29" s="111"/>
      <c r="C29" s="111"/>
      <c r="D29" s="112"/>
      <c r="E29" s="113"/>
      <c r="F29" s="113"/>
      <c r="G29" s="114"/>
      <c r="H29" s="112"/>
    </row>
  </sheetData>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A73" colorId="64" zoomScale="75" zoomScaleNormal="75" zoomScalePageLayoutView="100" workbookViewId="0">
      <selection pane="topLeft" activeCell="A3" activeCellId="0" sqref="A3"/>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8"/>
    <col collapsed="false" customWidth="true" hidden="false" outlineLevel="0" max="3" min="3" style="129" width="15.6"/>
    <col collapsed="false" customWidth="true" hidden="false" outlineLevel="0" max="4" min="4" style="130" width="97.3"/>
    <col collapsed="false" customWidth="true" hidden="false" outlineLevel="0" max="6" min="5" style="0" width="6.69"/>
    <col collapsed="false" customWidth="true" hidden="false" outlineLevel="0" max="7" min="7" style="0" width="5.79"/>
    <col collapsed="false" customWidth="true" hidden="false" outlineLevel="0" max="8" min="8" style="0" width="91.6"/>
    <col collapsed="false" customWidth="true" hidden="false" outlineLevel="0" max="10" min="9" style="0" width="75.4"/>
    <col collapsed="false" customWidth="true" hidden="false" outlineLevel="0" max="11" min="11" style="130" width="30.8"/>
    <col collapsed="false" customWidth="true" hidden="false" outlineLevel="0" max="14" min="13" style="0" width="10.8"/>
  </cols>
  <sheetData>
    <row r="1" customFormat="false" ht="18" hidden="false" customHeight="false" outlineLevel="0" collapsed="false">
      <c r="B1" s="131" t="s">
        <v>316</v>
      </c>
      <c r="C1" s="131"/>
      <c r="D1" s="132"/>
      <c r="E1" s="52"/>
      <c r="F1" s="52"/>
      <c r="G1" s="52"/>
      <c r="H1" s="132"/>
      <c r="I1" s="50"/>
      <c r="J1" s="50"/>
      <c r="K1" s="132"/>
    </row>
    <row r="2" customFormat="false" ht="15.6" hidden="false" customHeight="false" outlineLevel="0" collapsed="false">
      <c r="B2" s="133"/>
      <c r="C2" s="133"/>
      <c r="D2" s="132"/>
      <c r="E2" s="52"/>
      <c r="F2" s="52"/>
      <c r="G2" s="52"/>
      <c r="H2" s="52"/>
      <c r="I2" s="52"/>
      <c r="J2" s="52"/>
      <c r="K2" s="132"/>
    </row>
    <row r="3" s="45" customFormat="tru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134" t="str">
        <f aca="false">HYPERLINK(CONCATENATE( BASE_URL, "0x04b-Mobile-App-Security-Testing.md#architectural-information"), "Architectural Information")</f>
        <v>Architectural Information</v>
      </c>
      <c r="I5" s="76"/>
      <c r="J5" s="76"/>
      <c r="K5" s="73"/>
    </row>
    <row r="6" customFormat="false" ht="15" hidden="false" customHeight="false" outlineLevel="0" collapsed="false">
      <c r="B6" s="65" t="s">
        <v>65</v>
      </c>
      <c r="C6" s="66" t="s">
        <v>66</v>
      </c>
      <c r="D6" s="67" t="s">
        <v>67</v>
      </c>
      <c r="E6" s="68" t="s">
        <v>64</v>
      </c>
      <c r="F6" s="69" t="s">
        <v>64</v>
      </c>
      <c r="G6" s="70"/>
      <c r="H6" s="134" t="str">
        <f aca="false">HYPERLINK(CONCATENATE( BASE_URL, "0x04h-Testing-Code-Quality.md#injection-flaws-mstg-arch-2-and-mstg-platform-2"), "Injection Flaws (MSTG-ARCH-2 and MSTG-PLATFORM-2)")</f>
        <v>Injection Flaws (MSTG-ARCH-2 and MSTG-PLATFORM-2)</v>
      </c>
      <c r="I6" s="13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J6" s="136"/>
      <c r="K6" s="73"/>
    </row>
    <row r="7" customFormat="false" ht="15" hidden="false" customHeight="false" outlineLevel="0" collapsed="false">
      <c r="B7" s="65" t="s">
        <v>68</v>
      </c>
      <c r="C7" s="66" t="s">
        <v>69</v>
      </c>
      <c r="D7" s="67" t="s">
        <v>70</v>
      </c>
      <c r="E7" s="68" t="s">
        <v>64</v>
      </c>
      <c r="F7" s="69" t="s">
        <v>64</v>
      </c>
      <c r="G7" s="70"/>
      <c r="H7" s="134" t="str">
        <f aca="false">HYPERLINK(CONCATENATE( BASE_URL, "0x04b-Mobile-App-Security-Testing.md#architectural-information"), "Architectural Information")</f>
        <v>Architectural Information</v>
      </c>
      <c r="I7" s="76"/>
      <c r="J7" s="76"/>
      <c r="K7" s="73"/>
    </row>
    <row r="8" customFormat="false" ht="15" hidden="false" customHeight="false" outlineLevel="0" collapsed="false">
      <c r="B8" s="65" t="s">
        <v>71</v>
      </c>
      <c r="C8" s="66" t="s">
        <v>72</v>
      </c>
      <c r="D8" s="67" t="s">
        <v>73</v>
      </c>
      <c r="E8" s="68" t="s">
        <v>64</v>
      </c>
      <c r="F8" s="69" t="s">
        <v>64</v>
      </c>
      <c r="G8" s="70"/>
      <c r="H8" s="134" t="str">
        <f aca="false">HYPERLINK(CONCATENATE( BASE_URL, "0x04b-Mobile-App-Security-Testing.md#identifying-sensitive-data"), "Identifying Sensitive Data")</f>
        <v>Identifying Sensitive Data</v>
      </c>
      <c r="I8" s="76"/>
      <c r="J8" s="76"/>
      <c r="K8" s="73"/>
    </row>
    <row r="9" customFormat="false" ht="15" hidden="false" customHeight="false" outlineLevel="0" collapsed="false">
      <c r="B9" s="65" t="s">
        <v>74</v>
      </c>
      <c r="C9" s="66" t="s">
        <v>75</v>
      </c>
      <c r="D9" s="67" t="s">
        <v>76</v>
      </c>
      <c r="E9" s="77"/>
      <c r="F9" s="69" t="s">
        <v>64</v>
      </c>
      <c r="G9" s="70" t="s">
        <v>77</v>
      </c>
      <c r="H9" s="134" t="str">
        <f aca="false">HYPERLINK(CONCATENATE( BASE_URL, "0x04b-Mobile-App-Security-Testing.md#environmental-information"), "Environmental Information")</f>
        <v>Environmental Information</v>
      </c>
      <c r="I9" s="76"/>
      <c r="J9" s="76"/>
      <c r="K9" s="73"/>
    </row>
    <row r="10" customFormat="false" ht="24.85" hidden="false" customHeight="false" outlineLevel="0" collapsed="false">
      <c r="B10" s="65" t="s">
        <v>78</v>
      </c>
      <c r="C10" s="66" t="s">
        <v>79</v>
      </c>
      <c r="D10" s="67" t="s">
        <v>80</v>
      </c>
      <c r="E10" s="77"/>
      <c r="F10" s="69" t="s">
        <v>64</v>
      </c>
      <c r="G10" s="70" t="s">
        <v>77</v>
      </c>
      <c r="H10" s="134" t="str">
        <f aca="false">HYPERLINK(CONCATENATE( BASE_URL, "0x04b-Mobile-App-Security-Testing.md#mapping-the-application"), "Mapping the Application")</f>
        <v>Mapping the Application</v>
      </c>
      <c r="I10" s="76"/>
      <c r="J10" s="76"/>
      <c r="K10" s="73"/>
    </row>
    <row r="11" customFormat="false" ht="15" hidden="false" customHeight="false" outlineLevel="0" collapsed="false">
      <c r="B11" s="65" t="s">
        <v>81</v>
      </c>
      <c r="C11" s="66" t="s">
        <v>82</v>
      </c>
      <c r="D11" s="67" t="s">
        <v>83</v>
      </c>
      <c r="E11" s="77"/>
      <c r="F11" s="69" t="s">
        <v>64</v>
      </c>
      <c r="G11" s="70" t="s">
        <v>77</v>
      </c>
      <c r="H11" s="134" t="str">
        <f aca="false">HYPERLINK(CONCATENATE( BASE_URL, "0x04b-Mobile-App-Security-Testing.md#principles-of-testing"), "Principles of Testing")</f>
        <v>Principles of Testing</v>
      </c>
      <c r="I11" s="75" t="str">
        <f aca="false">HYPERLINK(CONCATENATE( BASE_URL, "0x04b-Mobile-App-Security-Testing.md#penetration-testing-aka-pentesting"), "Penetration Testing (a.k.a. Pentesting)")</f>
        <v>Penetration Testing (a.k.a. Pentesting)</v>
      </c>
      <c r="J11" s="75"/>
      <c r="K11" s="73"/>
    </row>
    <row r="12" customFormat="false" ht="24.85" hidden="false" customHeight="false" outlineLevel="0" collapsed="false">
      <c r="B12" s="65" t="s">
        <v>84</v>
      </c>
      <c r="C12" s="66" t="s">
        <v>85</v>
      </c>
      <c r="D12" s="67" t="s">
        <v>86</v>
      </c>
      <c r="E12" s="77"/>
      <c r="F12" s="69" t="s">
        <v>64</v>
      </c>
      <c r="G12" s="70" t="s">
        <v>77</v>
      </c>
      <c r="H12" s="134" t="str">
        <f aca="false">HYPERLINK(CONCATENATE( BASE_URL, "0x04g-Testing-Cryptography.md#cryptographic-policy"), "Cryptographic policy")</f>
        <v>Cryptographic policy</v>
      </c>
      <c r="I12" s="76"/>
      <c r="J12" s="76"/>
      <c r="K12" s="73"/>
    </row>
    <row r="13" customFormat="false" ht="15" hidden="false" customHeight="false" outlineLevel="0" collapsed="false">
      <c r="B13" s="65" t="s">
        <v>87</v>
      </c>
      <c r="C13" s="66" t="s">
        <v>88</v>
      </c>
      <c r="D13" s="67" t="s">
        <v>89</v>
      </c>
      <c r="E13" s="77"/>
      <c r="F13" s="69" t="s">
        <v>64</v>
      </c>
      <c r="G13" s="70" t="s">
        <v>77</v>
      </c>
      <c r="H13" s="134" t="str">
        <f aca="false">HYPERLINK(CONCATENATE( BASE_URL, "0x06h-Testing-Platform-Interaction.md#testing-enforced-updating-mstg-arch-9"), "Testing enforced updating (MSTG-ARCH-9)")</f>
        <v>Testing enforced updating (MSTG-ARCH-9)</v>
      </c>
      <c r="I13" s="76"/>
      <c r="J13" s="76"/>
      <c r="K13" s="73"/>
    </row>
    <row r="14" customFormat="false" ht="15" hidden="false" customHeight="false" outlineLevel="0" collapsed="false">
      <c r="B14" s="65" t="s">
        <v>90</v>
      </c>
      <c r="C14" s="66" t="s">
        <v>91</v>
      </c>
      <c r="D14" s="67" t="s">
        <v>92</v>
      </c>
      <c r="E14" s="77"/>
      <c r="F14" s="69" t="s">
        <v>64</v>
      </c>
      <c r="G14" s="70" t="s">
        <v>77</v>
      </c>
      <c r="H14" s="134" t="str">
        <f aca="false">HYPERLINK(CONCATENATE( BASE_URL, "0x04b-Mobile-App-Security-Testing.md#security-testing-and-the-sdlc"), "Security Testing and the SDLC")</f>
        <v>Security Testing and the SDLC</v>
      </c>
      <c r="I14" s="76"/>
      <c r="J14" s="76"/>
      <c r="K14" s="73"/>
    </row>
    <row r="15" customFormat="false" ht="15" hidden="false" customHeight="false" outlineLevel="0" collapsed="false">
      <c r="B15" s="79" t="s">
        <v>93</v>
      </c>
      <c r="C15" s="80"/>
      <c r="D15" s="81" t="s">
        <v>94</v>
      </c>
      <c r="E15" s="82"/>
      <c r="F15" s="83"/>
      <c r="G15" s="82"/>
      <c r="H15" s="84"/>
      <c r="I15" s="85"/>
      <c r="J15" s="85"/>
      <c r="K15" s="95"/>
    </row>
    <row r="16" customFormat="false" ht="24.85" hidden="false" customHeight="false" outlineLevel="0" collapsed="false">
      <c r="B16" s="87" t="s">
        <v>95</v>
      </c>
      <c r="C16" s="88" t="s">
        <v>96</v>
      </c>
      <c r="D16" s="67" t="s">
        <v>97</v>
      </c>
      <c r="E16" s="68" t="s">
        <v>64</v>
      </c>
      <c r="F16" s="69" t="s">
        <v>64</v>
      </c>
      <c r="G16" s="70"/>
      <c r="H16" s="135" t="str">
        <f aca="false">HYPERLINK(CONCATENATE(BASE_URL,"0x06d-Testing-Data-Storage.md#testing-local-data-storage-mstg-storage-1-and-mstg-storage-2"),"Testing Local Data Storage (MSTG-STORAGE-1 and MSTG-STORAGE-2)")</f>
        <v>Testing Local Data Storage (MSTG-STORAGE-1 and MSTG-STORAGE-2)</v>
      </c>
      <c r="I16" s="76"/>
      <c r="J16" s="76"/>
      <c r="K16" s="73"/>
    </row>
    <row r="17" customFormat="false" ht="24.85" hidden="false" customHeight="false" outlineLevel="0" collapsed="false">
      <c r="B17" s="87" t="s">
        <v>98</v>
      </c>
      <c r="C17" s="88" t="s">
        <v>99</v>
      </c>
      <c r="D17" s="67" t="s">
        <v>100</v>
      </c>
      <c r="E17" s="68"/>
      <c r="F17" s="69"/>
      <c r="G17" s="70"/>
      <c r="H17" s="135" t="str">
        <f aca="false">HYPERLINK(CONCATENATE(BASE_URL,"0x06d-Testing-Data-Storage.md#testing-local-data-storage-mstg-storage-1-and-mstg-storage-2"),"Testing Local Data Storage (MSTG-STORAGE-1 and MSTG-STORAGE-2)")</f>
        <v>Testing Local Data Storage (MSTG-STORAGE-1 and MSTG-STORAGE-2)</v>
      </c>
      <c r="I17" s="76"/>
      <c r="J17" s="76"/>
      <c r="K17" s="73"/>
    </row>
    <row r="18" customFormat="false" ht="15" hidden="false" customHeight="false" outlineLevel="0" collapsed="false">
      <c r="B18" s="87" t="s">
        <v>101</v>
      </c>
      <c r="C18" s="88" t="s">
        <v>102</v>
      </c>
      <c r="D18" s="67" t="s">
        <v>103</v>
      </c>
      <c r="E18" s="68" t="s">
        <v>64</v>
      </c>
      <c r="F18" s="69" t="s">
        <v>64</v>
      </c>
      <c r="G18" s="70"/>
      <c r="H18" s="135" t="str">
        <f aca="false">HYPERLINK(CONCATENATE(BASE_URL,"0x06d-Testing-Data-Storage.md#checking-logs-for-sensitive-data-mstg-storage-3"),"Checking Logs for Sensitive Data (MSTG-STORAGE-3)")</f>
        <v>Checking Logs for Sensitive Data (MSTG-STORAGE-3)</v>
      </c>
      <c r="I18" s="76"/>
      <c r="J18" s="76"/>
      <c r="K18" s="73"/>
    </row>
    <row r="19" customFormat="false" ht="15" hidden="false" customHeight="false" outlineLevel="0" collapsed="false">
      <c r="B19" s="87" t="s">
        <v>104</v>
      </c>
      <c r="C19" s="88" t="s">
        <v>105</v>
      </c>
      <c r="D19" s="67" t="s">
        <v>106</v>
      </c>
      <c r="E19" s="68" t="s">
        <v>64</v>
      </c>
      <c r="F19" s="69" t="s">
        <v>64</v>
      </c>
      <c r="G19" s="70"/>
      <c r="H19" s="135" t="str">
        <f aca="false">HYPERLINK(CONCATENATE(BASE_URL,"0x06d-Testing-Data-Storage.md#determining-whether-sensitive-data-is-sent-to-third-parties-mstg-storage-4"),"Determining Whether Sensitive Data Is Sent to Third Parties (MSTG-STORAGE-4)")</f>
        <v>Determining Whether Sensitive Data Is Sent to Third Parties (MSTG-STORAGE-4)</v>
      </c>
      <c r="I19" s="76"/>
      <c r="J19" s="76"/>
      <c r="K19" s="73"/>
    </row>
    <row r="20" customFormat="false" ht="15" hidden="false" customHeight="false" outlineLevel="0" collapsed="false">
      <c r="B20" s="87" t="s">
        <v>107</v>
      </c>
      <c r="C20" s="88" t="s">
        <v>108</v>
      </c>
      <c r="D20" s="92" t="s">
        <v>109</v>
      </c>
      <c r="E20" s="68" t="s">
        <v>64</v>
      </c>
      <c r="F20" s="69" t="s">
        <v>64</v>
      </c>
      <c r="G20" s="70"/>
      <c r="H20" s="135" t="str">
        <f aca="false">HYPERLINK(CONCATENATE(BASE_URL,"0x06d-Testing-Data-Storage.md#finding-sensitive-data-in-the-keyboard-cache-mstg-storage-5"),"Finding Sensitive Data in the Keyboard Cache (MSTG-STORAGE-5)")</f>
        <v>Finding Sensitive Data in the Keyboard Cache (MSTG-STORAGE-5)</v>
      </c>
      <c r="I20" s="76"/>
      <c r="J20" s="76"/>
      <c r="K20" s="73"/>
    </row>
    <row r="21" customFormat="false" ht="15" hidden="false" customHeight="false" outlineLevel="0" collapsed="false">
      <c r="B21" s="87" t="s">
        <v>110</v>
      </c>
      <c r="C21" s="88" t="s">
        <v>111</v>
      </c>
      <c r="D21" s="92" t="s">
        <v>112</v>
      </c>
      <c r="E21" s="68" t="s">
        <v>64</v>
      </c>
      <c r="F21" s="69" t="s">
        <v>64</v>
      </c>
      <c r="G21" s="70"/>
      <c r="H21" s="137" t="str">
        <f aca="false">HYPERLINK(CONCATENATE(BASE_URL,"0x06d-Testing-Data-Storage.md#determining-whether-sensitive-data-is-exposed-via-ipc-mechanisms-mstg-storage-6"),"Determining Whether Sensitive Data Is Exposed via IPC Mechanisms (MSTG-STORAGE-6)")</f>
        <v>Determining Whether Sensitive Data Is Exposed via IPC Mechanisms (MSTG-STORAGE-6)</v>
      </c>
      <c r="I21" s="76"/>
      <c r="J21" s="76"/>
      <c r="K21" s="73"/>
    </row>
    <row r="22" customFormat="false" ht="15" hidden="false" customHeight="false" outlineLevel="0" collapsed="false">
      <c r="B22" s="87" t="s">
        <v>113</v>
      </c>
      <c r="C22" s="88" t="s">
        <v>114</v>
      </c>
      <c r="D22" s="92" t="s">
        <v>115</v>
      </c>
      <c r="E22" s="68" t="s">
        <v>64</v>
      </c>
      <c r="F22" s="69" t="s">
        <v>64</v>
      </c>
      <c r="G22" s="70"/>
      <c r="H22" s="135" t="str">
        <f aca="false">HYPERLINK(CONCATENATE(BASE_URL,"0x06d-Testing-Data-Storage.md#checking-for-sensitive-data-disclosed-through-the-user-interface-mstg-storage-7"),"Checking for Sensitive Data Disclosed Through the User Interface (MSTG-STORAGE-7)")</f>
        <v>Checking for Sensitive Data Disclosed Through the User Interface (MSTG-STORAGE-7)</v>
      </c>
      <c r="I22" s="76"/>
      <c r="J22" s="76"/>
      <c r="K22" s="73"/>
    </row>
    <row r="23" customFormat="false" ht="15" hidden="false" customHeight="false" outlineLevel="0" collapsed="false">
      <c r="B23" s="87" t="s">
        <v>116</v>
      </c>
      <c r="C23" s="88" t="s">
        <v>117</v>
      </c>
      <c r="D23" s="92" t="s">
        <v>118</v>
      </c>
      <c r="E23" s="93"/>
      <c r="F23" s="69" t="s">
        <v>64</v>
      </c>
      <c r="G23" s="70" t="s">
        <v>77</v>
      </c>
      <c r="H23" s="135" t="str">
        <f aca="false">HYPERLINK(CONCATENATE(BASE_URL,"0x06d-Testing-Data-Storage.md#testing-backups-for-sensitive-data-mstg-storage-8"),"Testing Backups for Sensitive Data (MSTG-STORAGE-8)")</f>
        <v>Testing Backups for Sensitive Data (MSTG-STORAGE-8)</v>
      </c>
      <c r="I23" s="76"/>
      <c r="J23" s="76"/>
      <c r="K23" s="73"/>
    </row>
    <row r="24" customFormat="false" ht="15" hidden="false" customHeight="false" outlineLevel="0" collapsed="false">
      <c r="B24" s="87" t="s">
        <v>119</v>
      </c>
      <c r="C24" s="88" t="s">
        <v>120</v>
      </c>
      <c r="D24" s="92" t="s">
        <v>121</v>
      </c>
      <c r="E24" s="93"/>
      <c r="F24" s="69" t="s">
        <v>64</v>
      </c>
      <c r="G24" s="70" t="s">
        <v>77</v>
      </c>
      <c r="H24" s="135" t="str">
        <f aca="false">HYPERLINK(CONCATENATE(BASE_URL,"0x06d-Testing-Data-Storage.md#testing-auto-generated-screenshots-for-sensitive-information-mstg-storage-9"),"Testing Auto-Generated Screenshots for Sensitive Information (MSTG-STORAGE-9)")</f>
        <v>Testing Auto-Generated Screenshots for Sensitive Information (MSTG-STORAGE-9)</v>
      </c>
      <c r="I24" s="76"/>
      <c r="J24" s="76"/>
      <c r="K24" s="73"/>
    </row>
    <row r="25" customFormat="false" ht="24.85" hidden="false" customHeight="false" outlineLevel="0" collapsed="false">
      <c r="B25" s="87" t="s">
        <v>122</v>
      </c>
      <c r="C25" s="88" t="s">
        <v>123</v>
      </c>
      <c r="D25" s="92" t="s">
        <v>124</v>
      </c>
      <c r="E25" s="93"/>
      <c r="F25" s="69" t="s">
        <v>64</v>
      </c>
      <c r="G25" s="70" t="s">
        <v>77</v>
      </c>
      <c r="H25" s="135" t="str">
        <f aca="false">HYPERLINK(CONCATENATE(BASE_URL,"0x06d-Testing-Data-Storage.md#testing-memory-for-sensitive-data-mstg-storage-10"),"Testing Memory for Sensitive Data (MSTG-STORAGE-10)")</f>
        <v>Testing Memory for Sensitive Data (MSTG-STORAGE-10)</v>
      </c>
      <c r="I25" s="76"/>
      <c r="J25" s="76"/>
      <c r="K25" s="73"/>
    </row>
    <row r="26" customFormat="false" ht="24.85" hidden="false" customHeight="false" outlineLevel="0" collapsed="false">
      <c r="B26" s="87" t="s">
        <v>125</v>
      </c>
      <c r="C26" s="88" t="s">
        <v>126</v>
      </c>
      <c r="D26" s="92" t="s">
        <v>127</v>
      </c>
      <c r="E26" s="93"/>
      <c r="F26" s="69" t="s">
        <v>64</v>
      </c>
      <c r="G26" s="70" t="s">
        <v>77</v>
      </c>
      <c r="H26" s="135" t="str">
        <f aca="false">HYPERLINK(CONCATENATE(BASE_URL,"0x06f-Testing-Local-Authentication.md#testing-local-authentication-mstg-auth-8-and-mstg-storage-11"),"Testing Local Authentication (MSTG-AUTH-8 and MSTG-STORAGE-11)")</f>
        <v>Testing Local Authentication (MSTG-AUTH-8 and MSTG-STORAGE-11)</v>
      </c>
      <c r="I26" s="76"/>
      <c r="J26" s="76"/>
      <c r="K26" s="73"/>
      <c r="L26" s="138"/>
    </row>
    <row r="27" customFormat="false" ht="24.85" hidden="false" customHeight="false" outlineLevel="0" collapsed="false">
      <c r="B27" s="87" t="s">
        <v>128</v>
      </c>
      <c r="C27" s="88" t="s">
        <v>129</v>
      </c>
      <c r="D27" s="67" t="s">
        <v>130</v>
      </c>
      <c r="E27" s="93"/>
      <c r="F27" s="69" t="s">
        <v>64</v>
      </c>
      <c r="G27" s="70" t="s">
        <v>77</v>
      </c>
      <c r="H27" s="100" t="str">
        <f aca="false">HYPERLINK(CONCATENATE(BASE_URL,"0x04i-Testing-user-interaction.md#testing-user-education-mstg-storage-12"),"Testing User Education (MSTG-STORAGE-12)")</f>
        <v>Testing User Education (MSTG-STORAGE-12)</v>
      </c>
      <c r="I27" s="76"/>
      <c r="J27" s="76"/>
      <c r="K27" s="73"/>
      <c r="L27" s="45"/>
    </row>
    <row r="28" customFormat="false" ht="15" hidden="false" customHeight="false" outlineLevel="0" collapsed="false">
      <c r="B28" s="79" t="s">
        <v>131</v>
      </c>
      <c r="C28" s="80"/>
      <c r="D28" s="81" t="s">
        <v>132</v>
      </c>
      <c r="E28" s="82"/>
      <c r="F28" s="83"/>
      <c r="G28" s="82"/>
      <c r="H28" s="84"/>
      <c r="I28" s="85"/>
      <c r="J28" s="85"/>
      <c r="K28" s="95"/>
    </row>
    <row r="29" customFormat="false" ht="24.85" hidden="false" customHeight="false" outlineLevel="0" collapsed="false">
      <c r="B29" s="87" t="s">
        <v>133</v>
      </c>
      <c r="C29" s="88" t="s">
        <v>134</v>
      </c>
      <c r="D29" s="92" t="s">
        <v>135</v>
      </c>
      <c r="E29" s="68" t="s">
        <v>64</v>
      </c>
      <c r="F29" s="69" t="s">
        <v>64</v>
      </c>
      <c r="G29" s="70"/>
      <c r="H29" s="135" t="str">
        <f aca="false">HYPERLINK(CONCATENATE(BASE_URL,"0x06e-Testing-Cryptography.md#testing-key-management-mstg-crypto-1-and-mstg-crypto-5"),"Testing Key Management (MSTG-CRYPTO-1 and MSTG-CRYPTO-5)")</f>
        <v>Testing Key Management (MSTG-CRYPTO-1 and MSTG-CRYPTO-5)</v>
      </c>
      <c r="I29" s="76"/>
      <c r="J29" s="76"/>
      <c r="K29" s="73"/>
    </row>
    <row r="30" customFormat="false" ht="15" hidden="false" customHeight="false" outlineLevel="0" collapsed="false">
      <c r="B30" s="87" t="s">
        <v>136</v>
      </c>
      <c r="C30" s="88" t="s">
        <v>137</v>
      </c>
      <c r="D30" s="92" t="s">
        <v>138</v>
      </c>
      <c r="E30" s="68" t="s">
        <v>64</v>
      </c>
      <c r="F30" s="69" t="s">
        <v>64</v>
      </c>
      <c r="G30" s="70"/>
      <c r="H30" s="137"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0" s="76"/>
      <c r="J30" s="76"/>
      <c r="K30" s="73"/>
    </row>
    <row r="31" customFormat="false" ht="24.85" hidden="false" customHeight="false" outlineLevel="0" collapsed="false">
      <c r="B31" s="87" t="s">
        <v>139</v>
      </c>
      <c r="C31" s="88" t="s">
        <v>140</v>
      </c>
      <c r="D31" s="67" t="s">
        <v>141</v>
      </c>
      <c r="E31" s="68" t="s">
        <v>64</v>
      </c>
      <c r="F31" s="69" t="s">
        <v>64</v>
      </c>
      <c r="G31" s="70"/>
      <c r="H31" s="137"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1" s="76"/>
      <c r="J31" s="76"/>
      <c r="K31" s="73"/>
    </row>
    <row r="32" customFormat="false" ht="15" hidden="false" customHeight="false" outlineLevel="0" collapsed="false">
      <c r="B32" s="87" t="s">
        <v>142</v>
      </c>
      <c r="C32" s="88" t="s">
        <v>143</v>
      </c>
      <c r="D32" s="92" t="s">
        <v>144</v>
      </c>
      <c r="E32" s="68" t="s">
        <v>64</v>
      </c>
      <c r="F32" s="69" t="s">
        <v>64</v>
      </c>
      <c r="G32" s="70"/>
      <c r="H32" s="135" t="str">
        <f aca="false">HYPERLINK(CONCATENATE(BASE_URL,"0x04g-Testing-Cryptography.md#identifying-insecure-andor-deprecated-cryptographic-algorithms-mstg-crypto-4"),"Identifying Insecure and/or Deprecated Cryptographic Algorithms (MSTG-CRYPTO-4)")</f>
        <v>Identifying Insecure and/or Deprecated Cryptographic Algorithms (MSTG-CRYPTO-4)</v>
      </c>
      <c r="I32" s="76"/>
      <c r="J32" s="76"/>
      <c r="K32" s="73"/>
    </row>
    <row r="33" customFormat="false" ht="15" hidden="false" customHeight="false" outlineLevel="0" collapsed="false">
      <c r="B33" s="87" t="s">
        <v>145</v>
      </c>
      <c r="C33" s="88" t="s">
        <v>146</v>
      </c>
      <c r="D33" s="92" t="s">
        <v>147</v>
      </c>
      <c r="E33" s="68" t="s">
        <v>64</v>
      </c>
      <c r="F33" s="69" t="s">
        <v>64</v>
      </c>
      <c r="G33" s="70"/>
      <c r="H33" s="135" t="str">
        <f aca="false">HYPERLINK(CONCATENATE(BASE_URL,"0x06e-Testing-Cryptography.md#testing-key-management-mstg-crypto-1-and-mstg-crypto-5"),"Testing Key Management (MSTG-CRYPTO-1 and MSTG-CRYPTO-5)")</f>
        <v>Testing Key Management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135" t="str">
        <f aca="false">HYPERLINK(CONCATENATE(BASE_URL,"0x06e-Testing-Cryptography.md#testing-random-number-generation-mstg-crypto-6")," Testing Random Number Generation (MSTG-CRYPTO-6)")</f>
        <v> Testing Random Number Generation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4.85" hidden="false" customHeight="false" outlineLevel="0" collapsed="false">
      <c r="B36" s="87" t="s">
        <v>153</v>
      </c>
      <c r="C36" s="88" t="s">
        <v>154</v>
      </c>
      <c r="D36" s="96" t="s">
        <v>155</v>
      </c>
      <c r="E36" s="68" t="s">
        <v>64</v>
      </c>
      <c r="F36" s="69" t="s">
        <v>64</v>
      </c>
      <c r="G36" s="70"/>
      <c r="H36" s="13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I36" s="90" t="str">
        <f aca="false">HYPERLINK(CONCATENATE(BASE_URL,"0x04e-Testing-Authentication-and-Session-Management.md#testing-oauth-20-flows-mstg-auth-1-and-mstg-auth-3"),"Testing OAuth 2.0 Flows (MSTG-AUTH-1 and MSTG-AUTH-3)")</f>
        <v>Testing OAuth 2.0 Flows (MSTG-AUTH-1 and MSTG-AUTH-3)</v>
      </c>
      <c r="J36" s="139"/>
      <c r="K36" s="125"/>
    </row>
    <row r="37" customFormat="false" ht="24.85" hidden="false" customHeight="false" outlineLevel="0" collapsed="false">
      <c r="B37" s="87" t="s">
        <v>156</v>
      </c>
      <c r="C37" s="88" t="s">
        <v>157</v>
      </c>
      <c r="D37" s="96" t="s">
        <v>158</v>
      </c>
      <c r="E37" s="68" t="s">
        <v>64</v>
      </c>
      <c r="F37" s="69" t="s">
        <v>64</v>
      </c>
      <c r="G37" s="70"/>
      <c r="H37" s="135" t="str">
        <f aca="false">HYPERLINK(CONCATENATE(BASE_URL,"0x04e-Testing-Authentication-and-Session-Management.md#testing-stateful-session-management-mstg-auth-2"),"Testing Stateful Session Management (MSTG-AUTH-2)")</f>
        <v>Testing Stateful Session Management (MSTG-AUTH-2)</v>
      </c>
      <c r="I37" s="76"/>
      <c r="J37" s="76"/>
      <c r="K37" s="73"/>
    </row>
    <row r="38" customFormat="false" ht="24.85" hidden="false" customHeight="false" outlineLevel="0" collapsed="false">
      <c r="B38" s="87" t="s">
        <v>159</v>
      </c>
      <c r="C38" s="88" t="s">
        <v>160</v>
      </c>
      <c r="D38" s="96" t="s">
        <v>161</v>
      </c>
      <c r="E38" s="68" t="s">
        <v>64</v>
      </c>
      <c r="F38" s="69" t="s">
        <v>64</v>
      </c>
      <c r="G38" s="70"/>
      <c r="H38" s="135" t="str">
        <f aca="false">HYPERLINK(CONCATENATE(BASE_URL,"0x04e-Testing-Authentication-and-Session-Management.md#testing-stateless-token-based-authentication-mstg-auth-3"),"Testing Stateless (Token-Based) Authentication (MSTG-AUTH-3)")</f>
        <v>Testing Stateless (Token-Based) Authentication (MSTG-AUTH-3)</v>
      </c>
      <c r="I38" s="90" t="str">
        <f aca="false">HYPERLINK(CONCATENATE(BASE_URL,"0x04e-Testing-Authentication-and-Session-Management.md#testing-oauth-20-flows-mstg-auth-1-and-mstg-auth-3"),"Testing OAuth 2.0 Flows (MSTG-AUTH-1 and MSTG-AUTH-3)")</f>
        <v>Testing OAuth 2.0 Flows (MSTG-AUTH-1 and MSTG-AUTH-3)</v>
      </c>
      <c r="J38" s="139"/>
      <c r="K38" s="125"/>
    </row>
    <row r="39" customFormat="false" ht="15" hidden="false" customHeight="false" outlineLevel="0" collapsed="false">
      <c r="B39" s="87" t="s">
        <v>162</v>
      </c>
      <c r="C39" s="88" t="s">
        <v>163</v>
      </c>
      <c r="D39" s="96" t="s">
        <v>164</v>
      </c>
      <c r="E39" s="68"/>
      <c r="F39" s="69"/>
      <c r="G39" s="70"/>
      <c r="H39" s="135"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135"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125"/>
      <c r="M40" s="97"/>
    </row>
    <row r="41" customFormat="false" ht="15" hidden="false" customHeight="false" outlineLevel="0" collapsed="false">
      <c r="B41" s="87" t="s">
        <v>168</v>
      </c>
      <c r="C41" s="88" t="s">
        <v>169</v>
      </c>
      <c r="D41" s="96" t="s">
        <v>170</v>
      </c>
      <c r="E41" s="68" t="s">
        <v>64</v>
      </c>
      <c r="F41" s="69" t="s">
        <v>64</v>
      </c>
      <c r="G41" s="70"/>
      <c r="H41" s="135"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90" t="str">
        <f aca="false">HYPERLINK(CONCATENATE(BASE_URL,"0x04e-Testing-Authentication-and-Session-Management.md#dynamic-testing-mstg-auth-6"),"Dynamic Testing (MSTG-AUTH-6)")</f>
        <v>Dynamic Testing (MSTG-AUTH-6)</v>
      </c>
      <c r="J41" s="139"/>
      <c r="K41" s="125"/>
    </row>
    <row r="42" customFormat="false" ht="24.85" hidden="false" customHeight="false" outlineLevel="0" collapsed="false">
      <c r="B42" s="87" t="s">
        <v>171</v>
      </c>
      <c r="C42" s="88" t="s">
        <v>172</v>
      </c>
      <c r="D42" s="96" t="s">
        <v>173</v>
      </c>
      <c r="E42" s="68" t="s">
        <v>64</v>
      </c>
      <c r="F42" s="69" t="s">
        <v>64</v>
      </c>
      <c r="G42" s="70"/>
      <c r="H42" s="135" t="str">
        <f aca="false">HYPERLINK(CONCATENATE(BASE_URL,"0x04e-Testing-Authentication-and-Session-Management.md#testing-session-timeout-mstg-auth-7"),"Testing Session Timeout (MSTG-AUTH-7)")</f>
        <v>Testing Session Timeout (MSTG-AUTH-7)</v>
      </c>
      <c r="I42" s="97"/>
      <c r="J42" s="140"/>
      <c r="K42" s="99"/>
    </row>
    <row r="43" customFormat="false" ht="15" hidden="false" customHeight="false" outlineLevel="0" collapsed="false">
      <c r="B43" s="87" t="s">
        <v>174</v>
      </c>
      <c r="C43" s="88" t="s">
        <v>175</v>
      </c>
      <c r="D43" s="96" t="s">
        <v>176</v>
      </c>
      <c r="E43" s="93"/>
      <c r="F43" s="69" t="s">
        <v>64</v>
      </c>
      <c r="G43" s="70" t="s">
        <v>77</v>
      </c>
      <c r="H43" s="135" t="str">
        <f aca="false">HYPERLINK(CONCATENATE(BASE_URL,"0x06f-Testing-Local-Authentication.md#testing-local-authentication-mstg-auth-8-and-mstg-storage-11"),"Testing Local Authentication (MSTG-AUTH-8 and MSTG-STORAGE-11)")</f>
        <v>Testing Local Authentication (MSTG-AUTH-8 and MSTG-STORAGE-11)</v>
      </c>
      <c r="I43" s="90"/>
      <c r="J43" s="139"/>
      <c r="K43" s="125"/>
    </row>
    <row r="44" customFormat="false" ht="15" hidden="false" customHeight="false" outlineLevel="0" collapsed="false">
      <c r="B44" s="87" t="s">
        <v>177</v>
      </c>
      <c r="C44" s="88" t="s">
        <v>178</v>
      </c>
      <c r="D44" s="96" t="s">
        <v>179</v>
      </c>
      <c r="E44" s="93"/>
      <c r="F44" s="69" t="s">
        <v>64</v>
      </c>
      <c r="G44" s="70" t="s">
        <v>77</v>
      </c>
      <c r="H44" s="137"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137"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8" hidden="false" customHeight="false" outlineLevel="0" collapsed="false">
      <c r="B46" s="87" t="s">
        <v>183</v>
      </c>
      <c r="C46" s="88" t="s">
        <v>184</v>
      </c>
      <c r="D46" s="96" t="s">
        <v>185</v>
      </c>
      <c r="E46" s="93"/>
      <c r="F46" s="69" t="s">
        <v>64</v>
      </c>
      <c r="G46" s="70" t="s">
        <v>77</v>
      </c>
      <c r="H46" s="141" t="str">
        <f aca="false">HYPERLINK(CONCATENATE( BASE_URL, "0x04e-Testing-Authentication-and-Session-Management.md#testing-login-activity-and-device-blocking-mstg-auth-11"), "Testing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4.85" hidden="false" customHeight="false" outlineLevel="0" collapsed="false">
      <c r="B48" s="87" t="s">
        <v>188</v>
      </c>
      <c r="C48" s="88" t="s">
        <v>189</v>
      </c>
      <c r="D48" s="92" t="s">
        <v>190</v>
      </c>
      <c r="E48" s="68" t="s">
        <v>64</v>
      </c>
      <c r="F48" s="69" t="s">
        <v>64</v>
      </c>
      <c r="G48" s="70"/>
      <c r="H48" s="137"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5"/>
      <c r="J48" s="75"/>
      <c r="K48" s="102"/>
    </row>
    <row r="49" customFormat="false" ht="24.85" hidden="false" customHeight="false" outlineLevel="0" collapsed="false">
      <c r="B49" s="87" t="s">
        <v>191</v>
      </c>
      <c r="C49" s="88" t="s">
        <v>192</v>
      </c>
      <c r="D49" s="96" t="s">
        <v>193</v>
      </c>
      <c r="E49" s="68" t="s">
        <v>64</v>
      </c>
      <c r="F49" s="69" t="s">
        <v>64</v>
      </c>
      <c r="G49" s="70"/>
      <c r="H49" s="137"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5" t="str">
        <f aca="false">HYPERLINK(CONCATENATE(BASE_URL,"0x06g-Testing-Network-Communication.md#app-transport-security-mstg-network-2"),"App Transport Security (MSTG-NETWORK-2)")</f>
        <v>App Transport Security (MSTG-NETWORK-2)</v>
      </c>
      <c r="J49" s="75"/>
      <c r="K49" s="102"/>
    </row>
    <row r="50" customFormat="false" ht="24.85" hidden="false" customHeight="false" outlineLevel="0" collapsed="false">
      <c r="B50" s="87" t="s">
        <v>194</v>
      </c>
      <c r="C50" s="88" t="s">
        <v>195</v>
      </c>
      <c r="D50" s="96" t="s">
        <v>196</v>
      </c>
      <c r="E50" s="68" t="s">
        <v>64</v>
      </c>
      <c r="F50" s="69" t="s">
        <v>64</v>
      </c>
      <c r="G50" s="70"/>
      <c r="H50" s="135"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0" s="76"/>
      <c r="J50" s="76"/>
      <c r="K50" s="102"/>
    </row>
    <row r="51" customFormat="false" ht="24.85" hidden="false" customHeight="false" outlineLevel="0" collapsed="false">
      <c r="B51" s="87" t="s">
        <v>197</v>
      </c>
      <c r="C51" s="88" t="s">
        <v>198</v>
      </c>
      <c r="D51" s="96" t="s">
        <v>199</v>
      </c>
      <c r="E51" s="93"/>
      <c r="F51" s="69" t="s">
        <v>64</v>
      </c>
      <c r="G51" s="70" t="s">
        <v>77</v>
      </c>
      <c r="H51" s="135"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1" s="76"/>
      <c r="J51" s="76"/>
      <c r="K51" s="73"/>
    </row>
    <row r="52" customFormat="false" ht="24.85" hidden="false" customHeight="false" outlineLevel="0" collapsed="false">
      <c r="B52" s="87" t="s">
        <v>200</v>
      </c>
      <c r="C52" s="88" t="s">
        <v>201</v>
      </c>
      <c r="D52" s="96" t="s">
        <v>202</v>
      </c>
      <c r="E52" s="93"/>
      <c r="F52" s="69" t="s">
        <v>64</v>
      </c>
      <c r="G52" s="70" t="s">
        <v>77</v>
      </c>
      <c r="H52" s="137"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4.85" hidden="false" customHeight="false" outlineLevel="0" collapsed="false">
      <c r="B53" s="87" t="s">
        <v>203</v>
      </c>
      <c r="C53" s="88" t="s">
        <v>204</v>
      </c>
      <c r="D53" s="96" t="s">
        <v>205</v>
      </c>
      <c r="E53" s="93"/>
      <c r="F53" s="69" t="s">
        <v>64</v>
      </c>
      <c r="G53" s="70" t="s">
        <v>77</v>
      </c>
      <c r="H53" s="135" t="str">
        <f aca="false">HYPERLINK(CONCATENATE( BASE_URL, "0x06i-Testing-Code-Quality-and-Build-Settings.md#checking-for-weaknesses-in-third-party-libraries-mstg-code-5"), "Checking for Weaknesses in Third Party Libraries (MSTG-CODE-5)")</f>
        <v>Checking for Weaknesses in Third Party Libraries (MSTG-CODE-5)</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135" t="str">
        <f aca="false">HYPERLINK(CONCATENATE(BASE_URL,"0x06h-Testing-Platform-Interaction.md#testing-app-permissions-mstg-platform-1"),"Testing App Permissions (MSTG-PLATFORM-1)")</f>
        <v>Testing App Permissions (MSTG-PLATFORM-1)</v>
      </c>
      <c r="I55" s="76"/>
      <c r="J55" s="76"/>
      <c r="K55" s="73"/>
    </row>
    <row r="56" customFormat="false" ht="35.8" hidden="false" customHeight="false" outlineLevel="0" collapsed="false">
      <c r="B56" s="87" t="s">
        <v>211</v>
      </c>
      <c r="C56" s="88" t="s">
        <v>212</v>
      </c>
      <c r="D56" s="96" t="s">
        <v>213</v>
      </c>
      <c r="E56" s="68" t="s">
        <v>64</v>
      </c>
      <c r="F56" s="69" t="s">
        <v>64</v>
      </c>
      <c r="G56" s="70"/>
      <c r="H56" s="135" t="str">
        <f aca="false">HYPERLINK(CONCATENATE(BASE_URL,"0x04h-Testing-Code-Quality.md#injection-flaws-mstg-arch-2-and-mstg-platform-2"),"Injection Flaws (MSTG-ARCH-2 and MSTG-PLATFORM-2)")</f>
        <v>Injection Flaws (MSTG-ARCH-2 and MSTG-PLATFORM-2)</v>
      </c>
      <c r="I56" s="76"/>
      <c r="J56" s="76"/>
      <c r="K56" s="73"/>
    </row>
    <row r="57" customFormat="false" ht="24.85" hidden="false" customHeight="false" outlineLevel="0" collapsed="false">
      <c r="B57" s="87" t="s">
        <v>214</v>
      </c>
      <c r="C57" s="88" t="s">
        <v>215</v>
      </c>
      <c r="D57" s="92" t="s">
        <v>216</v>
      </c>
      <c r="E57" s="68" t="s">
        <v>64</v>
      </c>
      <c r="F57" s="69" t="s">
        <v>64</v>
      </c>
      <c r="G57" s="70"/>
      <c r="H57" s="135" t="str">
        <f aca="false">HYPERLINK(CONCATENATE(BASE_URL,"0x06h-Testing-Platform-Interaction.md#testing-custom-url-schemes-mstg-platform-3"),"Testing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134" t="str">
        <f aca="false">HYPERLINK(CONCATENATE( BASE_URL, "0x06h-Testing-Platform-Interaction.md#testing-for-sensitive-functionality-exposure-through-ipc-mstg-platform-4"), "Testing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135" t="str">
        <f aca="false">HYPERLINK(CONCATENATE(BASE_URL,"0x06h-Testing-Platform-Interaction.md#testing-ios-webviews-mstg-platform-5"),"Testing iOS WebViews (MSTG-PLATFORM-5)")</f>
        <v>Testing iOS WebViews (MSTG-PLATFORM-5)</v>
      </c>
      <c r="I59" s="76"/>
      <c r="J59" s="76"/>
      <c r="K59" s="73"/>
    </row>
    <row r="60" customFormat="false" ht="24.85" hidden="false" customHeight="false" outlineLevel="0" collapsed="false">
      <c r="B60" s="87" t="s">
        <v>223</v>
      </c>
      <c r="C60" s="88" t="s">
        <v>224</v>
      </c>
      <c r="D60" s="96" t="s">
        <v>225</v>
      </c>
      <c r="E60" s="68" t="s">
        <v>64</v>
      </c>
      <c r="F60" s="69" t="s">
        <v>64</v>
      </c>
      <c r="G60" s="70"/>
      <c r="H60" s="135" t="str">
        <f aca="false">HYPERLINK(CONCATENATE(BASE_URL,"0x06h-Testing-Platform-Interaction.md#testing-webview-protocol-handlers-mstg-platform-6"),"Testing WebView Protocol Handlers (MSTG-PLATFORM-6)")</f>
        <v>Testing WebView Protocol Handlers (MSTG-PLATFORM-6)</v>
      </c>
      <c r="I60" s="76"/>
      <c r="J60" s="76"/>
      <c r="K60" s="73"/>
    </row>
    <row r="61" customFormat="false" ht="24.85" hidden="false" customHeight="false" outlineLevel="0" collapsed="false">
      <c r="B61" s="87" t="s">
        <v>226</v>
      </c>
      <c r="C61" s="88" t="s">
        <v>227</v>
      </c>
      <c r="D61" s="96" t="s">
        <v>228</v>
      </c>
      <c r="E61" s="68" t="s">
        <v>64</v>
      </c>
      <c r="F61" s="69" t="s">
        <v>64</v>
      </c>
      <c r="G61" s="70"/>
      <c r="H61" s="135" t="str">
        <f aca="false">HYPERLINK(CONCATENATE(BASE_URL,"0x06h-Testing-Platform-Interaction.md#determining-whether-native-methods-are-exposed-through-webviews-mstg-platform-7"),"Determining Whether Native Methods Are Exposed Through WebViews (MSTG-PLATFORM-7)")</f>
        <v>Determining Whether Native Methods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135" t="str">
        <f aca="false">HYPERLINK(CONCATENATE(BASE_URL,"0x06h-Testing-Platform-Interaction.md#testing-object-persistence-mstg-platform-8"),"Testing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135" t="str">
        <f aca="false">HYPERLINK(CONCATENATE(BASE_URL,"0x06i-Testing-Code-Quality-and-Build-Settings.md#making-sure-that-the-app-is-properly-signed-mstg-code-1"),"Making Sure that the App Is Properly Signed (MSTG-CODE-1)")</f>
        <v>Making Sure that the App Is Properly Signed (MSTG-CODE-1)</v>
      </c>
      <c r="I64" s="76"/>
      <c r="J64" s="76"/>
      <c r="K64" s="73"/>
    </row>
    <row r="65" customFormat="false" ht="24.85" hidden="false" customHeight="false" outlineLevel="0" collapsed="false">
      <c r="B65" s="87" t="s">
        <v>237</v>
      </c>
      <c r="C65" s="88" t="s">
        <v>238</v>
      </c>
      <c r="D65" s="92" t="s">
        <v>239</v>
      </c>
      <c r="E65" s="68" t="s">
        <v>64</v>
      </c>
      <c r="F65" s="69" t="s">
        <v>64</v>
      </c>
      <c r="G65" s="70"/>
      <c r="H65" s="135" t="str">
        <f aca="false">HYPERLINK(CONCATENATE(BASE_URL,"0x06i-Testing-Code-Quality-and-Build-Settings.md#determining-whether-the-app-is-debuggable-mstg-code-2"),"Determining Whether the App is Debuggable (MSTG-CODE-2)")</f>
        <v>Determining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135" t="str">
        <f aca="false">HYPERLINK(CONCATENATE(BASE_URL,"0x06i-Testing-Code-Quality-and-Build-Settings.md#finding-debugging-symbols-mstg-code-3"),"Finding Debugging Symbols (MSTG-CODE-3)")</f>
        <v>Finding Debugging Symbols (MSTG-CODE-3)</v>
      </c>
      <c r="I66" s="76"/>
      <c r="J66" s="76"/>
      <c r="K66" s="73"/>
    </row>
    <row r="67" customFormat="false" ht="24.85" hidden="false" customHeight="false" outlineLevel="0" collapsed="false">
      <c r="B67" s="87" t="s">
        <v>243</v>
      </c>
      <c r="C67" s="88" t="s">
        <v>244</v>
      </c>
      <c r="D67" s="92" t="s">
        <v>245</v>
      </c>
      <c r="E67" s="68" t="s">
        <v>64</v>
      </c>
      <c r="F67" s="69" t="s">
        <v>64</v>
      </c>
      <c r="G67" s="70"/>
      <c r="H67" s="135" t="str">
        <f aca="false">HYPERLINK(CONCATENATE(BASE_URL,"0x06i-Testing-Code-Quality-and-Build-Settings.md#finding-debugging-code-and-verbose-error-logging-mstg-code-4"),"Finding Debugging Code and Verbose Error Logging (MSTG-CODE-4)")</f>
        <v>Finding Debugging Code and Verbose Error Logging (MSTG-CODE-4)</v>
      </c>
      <c r="I67" s="76"/>
      <c r="J67" s="76"/>
      <c r="K67" s="73"/>
    </row>
    <row r="68" customFormat="false" ht="24.85" hidden="false" customHeight="false" outlineLevel="0" collapsed="false">
      <c r="B68" s="87" t="s">
        <v>246</v>
      </c>
      <c r="C68" s="88" t="s">
        <v>247</v>
      </c>
      <c r="D68" s="67" t="s">
        <v>248</v>
      </c>
      <c r="E68" s="68" t="s">
        <v>64</v>
      </c>
      <c r="F68" s="69" t="s">
        <v>64</v>
      </c>
      <c r="G68" s="70"/>
      <c r="H68" s="141" t="str">
        <f aca="false">HYPERLINK(CONCATENATE(BASE_URL,"0x06i-Testing-Code-Quality-and-Build-Settings.md#checking-for-weaknesses-in-third-party-libraries-mstg-code-5"),"Checking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135" t="str">
        <f aca="false">HYPERLINK(CONCATENATE(BASE_URL,"0x06i-Testing-Code-Quality-and-Build-Settings.md#testing-exception-handling-mstg-code-6"),"Testing Exception Handling (MSTG-CODE-6)")</f>
        <v>Testing Exception Handling (MSTG-CODE-6)</v>
      </c>
      <c r="I69" s="76"/>
      <c r="J69" s="76"/>
      <c r="K69" s="73"/>
    </row>
    <row r="70" customFormat="false" ht="15" hidden="false" customHeight="false" outlineLevel="0" collapsed="false">
      <c r="B70" s="87" t="s">
        <v>252</v>
      </c>
      <c r="C70" s="88" t="s">
        <v>253</v>
      </c>
      <c r="D70" s="92" t="s">
        <v>254</v>
      </c>
      <c r="E70" s="68" t="s">
        <v>64</v>
      </c>
      <c r="F70" s="69" t="s">
        <v>64</v>
      </c>
      <c r="G70" s="70"/>
      <c r="H70" s="135" t="str">
        <f aca="false">HYPERLINK(CONCATENATE(BASE_URL,"0x06i-Testing-Code-Quality-and-Build-Settings.md#testing-exception-handling-mstg-code-6"),"Testing Exception Handling (MSTG-CODE-6)")</f>
        <v>Testing Exception Handling (MSTG-CODE-6)</v>
      </c>
      <c r="I70" s="76"/>
      <c r="J70" s="76"/>
      <c r="K70" s="73"/>
    </row>
    <row r="71" customFormat="false" ht="15" hidden="false" customHeight="false" outlineLevel="0" collapsed="false">
      <c r="B71" s="87" t="s">
        <v>255</v>
      </c>
      <c r="C71" s="88" t="s">
        <v>256</v>
      </c>
      <c r="D71" s="92" t="s">
        <v>257</v>
      </c>
      <c r="E71" s="68" t="s">
        <v>64</v>
      </c>
      <c r="F71" s="69" t="s">
        <v>64</v>
      </c>
      <c r="G71" s="70"/>
      <c r="H71" s="135" t="str">
        <f aca="false">HYPERLINK(CONCATENATE(BASE_URL,"0x06i-Testing-Code-Quality-and-Build-Settings.md#memory-corruption-bugs-mstg-code-8"),"Memory Corruption Bugs (MSTG-CODE-8)")</f>
        <v>Memory Corruption Bugs (MSTG-CODE-8)</v>
      </c>
      <c r="I71" s="76"/>
      <c r="J71" s="76"/>
      <c r="K71" s="73"/>
    </row>
    <row r="72" customFormat="false" ht="24.85" hidden="false" customHeight="false" outlineLevel="0" collapsed="false">
      <c r="B72" s="87" t="s">
        <v>258</v>
      </c>
      <c r="C72" s="88" t="s">
        <v>259</v>
      </c>
      <c r="D72" s="67" t="s">
        <v>260</v>
      </c>
      <c r="E72" s="68" t="s">
        <v>64</v>
      </c>
      <c r="F72" s="69" t="s">
        <v>64</v>
      </c>
      <c r="G72" s="70"/>
      <c r="H72" s="135" t="str">
        <f aca="false">HYPERLINK(CONCATENATE(BASE_URL,"0x06i-Testing-Code-Quality-and-Build-Settings.md#make-sure-that-free-security-features-are-activated-mstg-code-9"),"Make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42"/>
      <c r="K73" s="143"/>
    </row>
    <row r="74" customFormat="false" ht="15.6" hidden="false" customHeight="false" outlineLevel="0" collapsed="false">
      <c r="B74" s="144"/>
      <c r="C74" s="144"/>
      <c r="D74" s="92"/>
      <c r="E74" s="114"/>
      <c r="F74" s="114"/>
      <c r="G74" s="114"/>
      <c r="H74" s="114"/>
      <c r="I74" s="114"/>
      <c r="J74" s="114"/>
      <c r="K74" s="92"/>
    </row>
    <row r="75" customFormat="false" ht="15.6" hidden="false" customHeight="false" outlineLevel="0" collapsed="false">
      <c r="B75" s="144"/>
      <c r="C75" s="144"/>
      <c r="D75" s="92"/>
      <c r="E75" s="114"/>
      <c r="F75" s="114"/>
      <c r="G75" s="114"/>
      <c r="H75" s="114"/>
      <c r="I75" s="114"/>
      <c r="J75" s="114"/>
      <c r="K75" s="92"/>
    </row>
    <row r="76" customFormat="false" ht="15.6" hidden="false" customHeight="false" outlineLevel="0" collapsed="false">
      <c r="B76" s="144"/>
      <c r="C76" s="144"/>
      <c r="D76" s="92"/>
      <c r="E76" s="114"/>
      <c r="F76" s="114"/>
      <c r="G76" s="114"/>
      <c r="H76" s="114"/>
      <c r="I76" s="114"/>
      <c r="J76" s="114"/>
      <c r="K76" s="92"/>
    </row>
    <row r="77" customFormat="false" ht="15" hidden="false" customHeight="false" outlineLevel="0" collapsed="false">
      <c r="B77" s="115" t="s">
        <v>261</v>
      </c>
      <c r="C77" s="115"/>
      <c r="D77" s="112"/>
      <c r="E77" s="114"/>
      <c r="F77" s="114"/>
      <c r="G77" s="114"/>
      <c r="H77" s="114"/>
      <c r="I77" s="114"/>
      <c r="J77" s="114"/>
      <c r="K77" s="92"/>
    </row>
    <row r="78" customFormat="false" ht="15" hidden="false" customHeight="false" outlineLevel="0" collapsed="false">
      <c r="B78" s="116" t="s">
        <v>262</v>
      </c>
      <c r="C78" s="116"/>
      <c r="D78" s="117" t="s">
        <v>263</v>
      </c>
      <c r="E78" s="114"/>
      <c r="F78" s="114"/>
      <c r="G78" s="114"/>
      <c r="H78" s="114"/>
      <c r="I78" s="114"/>
      <c r="J78" s="114"/>
      <c r="K78" s="92"/>
    </row>
    <row r="79" customFormat="false" ht="15" hidden="false" customHeight="false" outlineLevel="0" collapsed="false">
      <c r="B79" s="118" t="s">
        <v>264</v>
      </c>
      <c r="C79" s="118"/>
      <c r="D79" s="119" t="s">
        <v>265</v>
      </c>
      <c r="E79" s="114"/>
      <c r="F79" s="114"/>
      <c r="G79" s="114"/>
      <c r="H79" s="114"/>
      <c r="I79" s="114"/>
      <c r="J79" s="114"/>
      <c r="K79" s="92"/>
    </row>
    <row r="80" customFormat="false" ht="15" hidden="false" customHeight="false" outlineLevel="0" collapsed="false">
      <c r="B80" s="118" t="s">
        <v>266</v>
      </c>
      <c r="C80" s="118"/>
      <c r="D80" s="119" t="s">
        <v>267</v>
      </c>
      <c r="E80" s="114"/>
      <c r="F80" s="114"/>
      <c r="G80" s="114"/>
      <c r="H80" s="114"/>
      <c r="I80" s="114"/>
      <c r="J80" s="114"/>
      <c r="K80" s="92"/>
    </row>
    <row r="81" customFormat="false" ht="15" hidden="false" customHeight="false" outlineLevel="0" collapsed="false">
      <c r="B81" s="118" t="s">
        <v>77</v>
      </c>
      <c r="C81" s="118"/>
      <c r="D81" s="119" t="s">
        <v>268</v>
      </c>
      <c r="E81" s="114"/>
      <c r="F81" s="114"/>
      <c r="G81" s="114"/>
      <c r="H81" s="114"/>
      <c r="I81" s="114"/>
      <c r="J81" s="114"/>
      <c r="K81" s="92"/>
    </row>
    <row r="82" customFormat="false" ht="15.6" hidden="false" customHeight="false" outlineLevel="0" collapsed="false">
      <c r="B82" s="144"/>
      <c r="C82" s="144"/>
      <c r="D82" s="92"/>
      <c r="E82" s="114"/>
      <c r="F82" s="114"/>
      <c r="G82" s="114"/>
      <c r="H82" s="114"/>
      <c r="I82" s="114"/>
      <c r="J82" s="114"/>
      <c r="K82" s="92"/>
    </row>
    <row r="83" customFormat="false" ht="15.6" hidden="false" customHeight="false" outlineLevel="0" collapsed="false">
      <c r="B83" s="144"/>
      <c r="C83" s="144"/>
      <c r="D83" s="92"/>
      <c r="E83" s="114"/>
      <c r="F83" s="114"/>
      <c r="G83" s="114"/>
      <c r="H83" s="114"/>
      <c r="I83" s="114"/>
      <c r="J83" s="114"/>
      <c r="K83" s="92"/>
    </row>
    <row r="84" customFormat="false" ht="15.6" hidden="false" customHeight="false" outlineLevel="0" collapsed="false">
      <c r="B84" s="144"/>
      <c r="C84" s="144"/>
      <c r="D84" s="92"/>
      <c r="E84" s="114"/>
      <c r="F84" s="114"/>
      <c r="G84" s="114"/>
      <c r="H84" s="114"/>
      <c r="I84" s="114"/>
      <c r="J84" s="114"/>
      <c r="K84" s="92"/>
    </row>
    <row r="85" customFormat="false" ht="15.6" hidden="false" customHeight="false" outlineLevel="0" collapsed="false">
      <c r="B85" s="144"/>
      <c r="C85" s="144"/>
      <c r="D85" s="92"/>
      <c r="E85" s="114"/>
      <c r="F85" s="114"/>
      <c r="G85" s="114"/>
      <c r="H85" s="114"/>
      <c r="I85" s="114"/>
      <c r="J85" s="114"/>
      <c r="K85" s="92"/>
    </row>
  </sheetData>
  <mergeCells count="1">
    <mergeCell ref="H3:I3"/>
  </mergeCells>
  <conditionalFormatting sqref="M4:M1048576 M1:M2">
    <cfRule type="containsText" priority="2" operator="containsText" aboveAverage="0" equalAverage="0" bottom="0" percent="0" rank="0" text="0x05" dxfId="2">
      <formula>NOT(ISERROR(SEARCH("0x05",M1)))</formula>
    </cfRule>
  </conditionalFormatting>
  <conditionalFormatting sqref="H4:H26 H28:H1048576 H1:H2">
    <cfRule type="containsText" priority="3" operator="containsText" aboveAverage="0" equalAverage="0" bottom="0" percent="0" rank="0" text="0x05" dxfId="3">
      <formula>NOT(ISERROR(SEARCH("0x05",H1)))</formula>
    </cfRule>
  </conditionalFormatting>
  <conditionalFormatting sqref="J6">
    <cfRule type="containsText" priority="4" operator="containsText" aboveAverage="0" equalAverage="0" bottom="0" percent="0" rank="0" text="0x05" dxfId="4">
      <formula>NOT(ISERROR(SEARCH("0x05",J6)))</formula>
    </cfRule>
  </conditionalFormatting>
  <conditionalFormatting sqref="I6">
    <cfRule type="containsText" priority="5" operator="containsText" aboveAverage="0" equalAverage="0" bottom="0" percent="0" rank="0" text="0x05" dxfId="5">
      <formula>NOT(ISERROR(SEARCH("0x05",I6)))</formula>
    </cfRule>
  </conditionalFormatting>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H3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7.3"/>
    <col collapsed="false" customWidth="true" hidden="false" outlineLevel="0" max="3" min="3" style="129" width="17.6"/>
    <col collapsed="false" customWidth="true" hidden="false" outlineLevel="0" max="4" min="4" style="130" width="93.31"/>
    <col collapsed="false" customWidth="true" hidden="false" outlineLevel="0" max="5" min="5" style="0" width="3"/>
    <col collapsed="false" customWidth="true" hidden="false" outlineLevel="0" max="6" min="6" style="0" width="5.79"/>
    <col collapsed="false" customWidth="true" hidden="false" outlineLevel="0" max="7" min="7" style="0" width="61.8"/>
    <col collapsed="false" customWidth="true" hidden="false" outlineLevel="0" max="8" min="8" style="130" width="30.7"/>
  </cols>
  <sheetData>
    <row r="1" customFormat="false" ht="17.35" hidden="false" customHeight="false" outlineLevel="0" collapsed="false">
      <c r="B1" s="120" t="s">
        <v>317</v>
      </c>
      <c r="C1" s="120"/>
      <c r="D1" s="112"/>
      <c r="G1" s="114"/>
      <c r="H1" s="92"/>
    </row>
    <row r="2" customFormat="false" ht="15" hidden="false" customHeight="false" outlineLevel="0" collapsed="false">
      <c r="B2" s="111"/>
      <c r="C2" s="111"/>
      <c r="D2" s="112"/>
      <c r="G2" s="114"/>
      <c r="H2" s="9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4.85" hidden="false" customHeight="false" outlineLevel="0" collapsed="false">
      <c r="B5" s="65" t="s">
        <v>276</v>
      </c>
      <c r="C5" s="66" t="s">
        <v>277</v>
      </c>
      <c r="D5" s="96" t="s">
        <v>278</v>
      </c>
      <c r="E5" s="123" t="s">
        <v>64</v>
      </c>
      <c r="F5" s="70" t="s">
        <v>77</v>
      </c>
      <c r="G5" s="124" t="str">
        <f aca="false">HYPERLINK(CONCATENATE(BASE_URL,"0x06j-Testing-Resiliency-Against-Reverse-Engineering.md#jailbreak-detection-mstg-resilience-1"),"Jailbreak Detection (MSTG-RESILIENCE-1)")</f>
        <v>Jailbreak Detection (MSTG-RESILIENCE-1)</v>
      </c>
      <c r="H5" s="125"/>
    </row>
    <row r="6" customFormat="false" ht="24.85" hidden="false" customHeight="false" outlineLevel="0" collapsed="false">
      <c r="B6" s="65" t="s">
        <v>279</v>
      </c>
      <c r="C6" s="66" t="s">
        <v>280</v>
      </c>
      <c r="D6" s="96" t="s">
        <v>281</v>
      </c>
      <c r="E6" s="123" t="s">
        <v>64</v>
      </c>
      <c r="F6" s="70" t="s">
        <v>77</v>
      </c>
      <c r="G6" s="124" t="str">
        <f aca="false">HYPERLINK(CONCATENATE(BASE_URL,"0x06j-Testing-Resiliency-Against-Reverse-Engineering.md#anti-debugging-checks-mstg-resilience-2"),"Anti-Debugging Checks (MSTG-RESILIENCE-2)")</f>
        <v>Anti-Debugging Checks (MSTG-RESILIENCE-2)</v>
      </c>
      <c r="H6" s="125"/>
    </row>
    <row r="7" customFormat="false" ht="24.85" hidden="false" customHeight="false" outlineLevel="0" collapsed="false">
      <c r="B7" s="65" t="s">
        <v>282</v>
      </c>
      <c r="C7" s="66" t="s">
        <v>283</v>
      </c>
      <c r="D7" s="92" t="s">
        <v>284</v>
      </c>
      <c r="E7" s="123" t="s">
        <v>64</v>
      </c>
      <c r="F7" s="70" t="s">
        <v>77</v>
      </c>
      <c r="G7" s="124" t="str">
        <f aca="false">HYPERLINK(CONCATENATE(BASE_URL,"0x06j-Testing-Resiliency-Against-Reverse-Engineering.md#file-integrity-checks-mstg-resilience-3-and-mstg-resilience-11"),"File Integrity Checks (MSTG-RESILIENCE-3 and MSTG-RESILIENCE-11)")</f>
        <v>File Integrity Checks (MSTG-RESILIENCE-3 and MSTG-RESILIENCE-11)</v>
      </c>
      <c r="H7" s="125"/>
    </row>
    <row r="8" customFormat="false" ht="24.85" hidden="false" customHeight="false" outlineLevel="0" collapsed="false">
      <c r="B8" s="65" t="s">
        <v>285</v>
      </c>
      <c r="C8" s="66" t="s">
        <v>286</v>
      </c>
      <c r="D8" s="92" t="s">
        <v>287</v>
      </c>
      <c r="E8" s="123" t="s">
        <v>64</v>
      </c>
      <c r="F8" s="70" t="s">
        <v>77</v>
      </c>
      <c r="G8" s="145" t="s">
        <v>301</v>
      </c>
      <c r="H8" s="125"/>
    </row>
    <row r="9" customFormat="false" ht="15" hidden="false" customHeight="false" outlineLevel="0" collapsed="false">
      <c r="B9" s="65" t="s">
        <v>288</v>
      </c>
      <c r="C9" s="66" t="s">
        <v>289</v>
      </c>
      <c r="D9" s="92" t="s">
        <v>290</v>
      </c>
      <c r="E9" s="123" t="s">
        <v>64</v>
      </c>
      <c r="F9" s="70" t="s">
        <v>77</v>
      </c>
      <c r="G9" s="145" t="s">
        <v>301</v>
      </c>
      <c r="H9" s="125"/>
    </row>
    <row r="10" customFormat="false" ht="15" hidden="false" customHeight="false" outlineLevel="0" collapsed="false">
      <c r="B10" s="65" t="s">
        <v>291</v>
      </c>
      <c r="C10" s="66" t="s">
        <v>292</v>
      </c>
      <c r="D10" s="92" t="s">
        <v>293</v>
      </c>
      <c r="E10" s="123" t="s">
        <v>64</v>
      </c>
      <c r="F10" s="70" t="s">
        <v>77</v>
      </c>
      <c r="G10" s="145" t="s">
        <v>301</v>
      </c>
      <c r="H10" s="125"/>
    </row>
    <row r="11" customFormat="false" ht="24.85" hidden="false" customHeight="false" outlineLevel="0" collapsed="false">
      <c r="B11" s="65" t="s">
        <v>294</v>
      </c>
      <c r="C11" s="66" t="s">
        <v>295</v>
      </c>
      <c r="D11" s="96" t="s">
        <v>296</v>
      </c>
      <c r="E11" s="123" t="s">
        <v>64</v>
      </c>
      <c r="F11" s="70" t="s">
        <v>77</v>
      </c>
      <c r="G11" s="128" t="s">
        <v>301</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4.85" hidden="false" customHeight="false" outlineLevel="0" collapsed="false">
      <c r="B13" s="65" t="s">
        <v>302</v>
      </c>
      <c r="C13" s="66" t="s">
        <v>303</v>
      </c>
      <c r="D13" s="92" t="s">
        <v>304</v>
      </c>
      <c r="E13" s="123" t="s">
        <v>64</v>
      </c>
      <c r="F13" s="70" t="s">
        <v>77</v>
      </c>
      <c r="G13" s="145" t="s">
        <v>301</v>
      </c>
      <c r="H13" s="125"/>
    </row>
    <row r="14" customFormat="false" ht="15" hidden="false" customHeight="false" outlineLevel="0" collapsed="false">
      <c r="B14" s="79"/>
      <c r="C14" s="80"/>
      <c r="D14" s="81" t="s">
        <v>305</v>
      </c>
      <c r="E14" s="82"/>
      <c r="F14" s="82"/>
      <c r="G14" s="122"/>
      <c r="H14" s="86"/>
    </row>
    <row r="15" customFormat="false" ht="24.85" hidden="false" customHeight="false" outlineLevel="0" collapsed="false">
      <c r="B15" s="65" t="s">
        <v>306</v>
      </c>
      <c r="C15" s="66" t="s">
        <v>307</v>
      </c>
      <c r="D15" s="96" t="s">
        <v>308</v>
      </c>
      <c r="E15" s="123" t="s">
        <v>64</v>
      </c>
      <c r="F15" s="70" t="s">
        <v>77</v>
      </c>
      <c r="G15" s="124" t="str">
        <f aca="false">HYPERLINK(CONCATENATE(BASE_URL,"0x06j-Testing-Resiliency-Against-Reverse-Engineering.md#device-binding-mstg-resilience-10"),"Device Binding (MSTG-RESILIENCE-10)")</f>
        <v>Device Binding (MSTG-RESILIENCE-10)</v>
      </c>
      <c r="H15" s="125"/>
    </row>
    <row r="16" customFormat="false" ht="15" hidden="false" customHeight="false" outlineLevel="0" collapsed="false">
      <c r="B16" s="79"/>
      <c r="C16" s="80"/>
      <c r="D16" s="81" t="s">
        <v>309</v>
      </c>
      <c r="E16" s="82"/>
      <c r="F16" s="82"/>
      <c r="G16" s="122"/>
      <c r="H16" s="86"/>
    </row>
    <row r="17" customFormat="false" ht="35.8" hidden="false" customHeight="false" outlineLevel="0" collapsed="false">
      <c r="B17" s="65" t="s">
        <v>310</v>
      </c>
      <c r="C17" s="66" t="s">
        <v>311</v>
      </c>
      <c r="D17" s="96" t="s">
        <v>312</v>
      </c>
      <c r="E17" s="123" t="s">
        <v>64</v>
      </c>
      <c r="F17" s="70" t="s">
        <v>77</v>
      </c>
      <c r="G17" s="146" t="str">
        <f aca="false">HYPERLINK(CONCATENATE(BASE_URL,"0x06j-Testing-Resiliency-Against-Reverse-Engineering.md#file-integrity-checks-mstg-resilience-3-and-mstg-resilience-11"),"File Integrity Checks (MSTG-RESILIENCE-3 and MSTG-RESILIENCE-11)")</f>
        <v>File Integrity Checks (MSTG-RESILIENCE-3 and MSTG-RESILIENCE-11)</v>
      </c>
      <c r="H17" s="125"/>
    </row>
    <row r="18" customFormat="false" ht="57.7" hidden="false" customHeight="false" outlineLevel="0" collapsed="false">
      <c r="B18" s="65" t="s">
        <v>313</v>
      </c>
      <c r="C18" s="66" t="s">
        <v>314</v>
      </c>
      <c r="D18" s="96" t="s">
        <v>315</v>
      </c>
      <c r="E18" s="123" t="s">
        <v>64</v>
      </c>
      <c r="F18" s="70" t="s">
        <v>77</v>
      </c>
      <c r="G18" s="128" t="s">
        <v>301</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44"/>
      <c r="C20" s="144"/>
      <c r="D20" s="92"/>
      <c r="E20" s="114"/>
      <c r="F20" s="114"/>
      <c r="G20" s="114"/>
      <c r="H20" s="92"/>
    </row>
    <row r="21" customFormat="false" ht="15.6" hidden="false" customHeight="false" outlineLevel="0" collapsed="false">
      <c r="B21" s="144"/>
      <c r="C21" s="144"/>
      <c r="D21" s="92"/>
      <c r="E21" s="114"/>
      <c r="F21" s="114"/>
      <c r="G21" s="114"/>
      <c r="H21" s="92"/>
    </row>
    <row r="22" customFormat="false" ht="15" hidden="false" customHeight="false" outlineLevel="0" collapsed="false">
      <c r="B22" s="115" t="s">
        <v>261</v>
      </c>
      <c r="C22" s="115"/>
      <c r="D22" s="112"/>
      <c r="E22" s="114"/>
      <c r="F22" s="114"/>
      <c r="G22" s="114"/>
      <c r="H22" s="92"/>
    </row>
    <row r="23" customFormat="false" ht="15" hidden="false" customHeight="false" outlineLevel="0" collapsed="false">
      <c r="B23" s="116" t="s">
        <v>262</v>
      </c>
      <c r="C23" s="116"/>
      <c r="D23" s="117" t="s">
        <v>263</v>
      </c>
      <c r="E23" s="114"/>
      <c r="F23" s="114"/>
      <c r="G23" s="114"/>
      <c r="H23" s="92"/>
    </row>
    <row r="24" customFormat="false" ht="15" hidden="false" customHeight="false" outlineLevel="0" collapsed="false">
      <c r="B24" s="118" t="s">
        <v>264</v>
      </c>
      <c r="C24" s="118"/>
      <c r="D24" s="119" t="s">
        <v>265</v>
      </c>
      <c r="E24" s="114"/>
      <c r="F24" s="114"/>
      <c r="G24" s="114"/>
      <c r="H24" s="92"/>
    </row>
    <row r="25" customFormat="false" ht="15" hidden="false" customHeight="false" outlineLevel="0" collapsed="false">
      <c r="B25" s="118" t="s">
        <v>266</v>
      </c>
      <c r="C25" s="118"/>
      <c r="D25" s="119" t="s">
        <v>267</v>
      </c>
      <c r="E25" s="114"/>
      <c r="F25" s="114"/>
      <c r="G25" s="114"/>
      <c r="H25" s="92"/>
    </row>
    <row r="26" customFormat="false" ht="15" hidden="false" customHeight="false" outlineLevel="0" collapsed="false">
      <c r="B26" s="118" t="s">
        <v>77</v>
      </c>
      <c r="C26" s="118"/>
      <c r="D26" s="119" t="s">
        <v>268</v>
      </c>
      <c r="E26" s="114"/>
      <c r="F26" s="114"/>
      <c r="G26" s="114"/>
      <c r="H26" s="92"/>
    </row>
    <row r="27" customFormat="false" ht="15.6" hidden="false" customHeight="false" outlineLevel="0" collapsed="false">
      <c r="B27" s="144"/>
      <c r="C27" s="144"/>
      <c r="D27" s="92"/>
      <c r="E27" s="114"/>
      <c r="F27" s="114"/>
      <c r="G27" s="114"/>
      <c r="H27" s="92"/>
    </row>
    <row r="28" customFormat="false" ht="15.6" hidden="false" customHeight="false" outlineLevel="0" collapsed="false">
      <c r="B28" s="144"/>
      <c r="C28" s="144"/>
      <c r="D28" s="92"/>
      <c r="E28" s="114"/>
      <c r="F28" s="114"/>
      <c r="G28" s="114"/>
      <c r="H28" s="92"/>
    </row>
    <row r="29" customFormat="false" ht="15.6" hidden="false" customHeight="false" outlineLevel="0" collapsed="false">
      <c r="B29" s="144"/>
      <c r="C29" s="144"/>
      <c r="D29" s="92"/>
      <c r="E29" s="114"/>
      <c r="F29" s="114"/>
      <c r="G29" s="114"/>
      <c r="H29" s="92"/>
    </row>
    <row r="30" customFormat="false" ht="15.6" hidden="false" customHeight="false" outlineLevel="0" collapsed="false">
      <c r="B30" s="144"/>
      <c r="C30" s="144"/>
      <c r="D30" s="92"/>
      <c r="E30" s="114"/>
      <c r="F30" s="114"/>
    </row>
    <row r="31" customFormat="false" ht="15.6" hidden="false" customHeight="false" outlineLevel="0" collapsed="false">
      <c r="B31" s="144"/>
      <c r="C31" s="144"/>
      <c r="D31" s="92"/>
      <c r="E31" s="114"/>
      <c r="F31" s="114"/>
    </row>
    <row r="32" customFormat="false" ht="15.6" hidden="false" customHeight="false" outlineLevel="0" collapsed="false">
      <c r="B32" s="144"/>
      <c r="C32" s="144"/>
      <c r="D32" s="92"/>
      <c r="E32" s="114"/>
      <c r="F32" s="114"/>
    </row>
  </sheetData>
  <conditionalFormatting sqref="G8">
    <cfRule type="containsText" priority="2" operator="containsText" aboveAverage="0" equalAverage="0" bottom="0" percent="0" rank="0" text="0x05" dxfId="6">
      <formula>NOT(ISERROR(SEARCH("0x05",G8)))</formula>
    </cfRule>
  </conditionalFormatting>
  <conditionalFormatting sqref="G9">
    <cfRule type="containsText" priority="3" operator="containsText" aboveAverage="0" equalAverage="0" bottom="0" percent="0" rank="0" text="0x05" dxfId="7">
      <formula>NOT(ISERROR(SEARCH("0x05",G9)))</formula>
    </cfRule>
  </conditionalFormatting>
  <conditionalFormatting sqref="G10">
    <cfRule type="containsText" priority="4" operator="containsText" aboveAverage="0" equalAverage="0" bottom="0" percent="0" rank="0" text="0x05" dxfId="8">
      <formula>NOT(ISERROR(SEARCH("0x05",G10)))</formula>
    </cfRule>
  </conditionalFormatting>
  <conditionalFormatting sqref="G11">
    <cfRule type="containsText" priority="5" operator="containsText" aboveAverage="0" equalAverage="0" bottom="0" percent="0" rank="0" text="0x05" dxfId="9">
      <formula>NOT(ISERROR(SEARCH("0x05",G11)))</formula>
    </cfRule>
  </conditionalFormatting>
  <conditionalFormatting sqref="G12">
    <cfRule type="containsText" priority="6" operator="containsText" aboveAverage="0" equalAverage="0" bottom="0" percent="0" rank="0" text="0x05" dxfId="10">
      <formula>NOT(ISERROR(SEARCH("0x05",G12)))</formula>
    </cfRule>
  </conditionalFormatting>
  <conditionalFormatting sqref="G13">
    <cfRule type="containsText" priority="7" operator="containsText" aboveAverage="0" equalAverage="0" bottom="0" percent="0" rank="0" text="0x05" dxfId="11">
      <formula>NOT(ISERROR(SEARCH("0x05",G13)))</formula>
    </cfRule>
  </conditionalFormatting>
  <conditionalFormatting sqref="G17">
    <cfRule type="containsText" priority="8" operator="containsText" aboveAverage="0" equalAverage="0" bottom="0" percent="0" rank="0" text="0x05" dxfId="12">
      <formula>NOT(ISERROR(SEARCH("0x05",G17)))</formula>
    </cfRule>
  </conditionalFormatting>
  <conditionalFormatting sqref="G18">
    <cfRule type="containsText" priority="9" operator="containsText" aboveAverage="0" equalAverage="0" bottom="0" percent="0" rank="0" text="0x05" dxfId="13">
      <formula>NOT(ISERROR(SEARCH("0x05",G18)))</formula>
    </cfRule>
  </conditionalFormatting>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E15" activeCellId="0" sqref="E15"/>
    </sheetView>
  </sheetViews>
  <sheetFormatPr defaultColWidth="10.984375" defaultRowHeight="15.6" zeroHeight="false" outlineLevelRow="0" outlineLevelCol="0"/>
  <cols>
    <col collapsed="false" customWidth="true" hidden="false" outlineLevel="0" max="1" min="1" style="0" width="33.3"/>
    <col collapsed="false" customWidth="true" hidden="false" outlineLevel="0" max="3" min="3" style="0" width="13.7"/>
    <col collapsed="false" customWidth="true" hidden="false" outlineLevel="0" max="5" min="5" style="0" width="119.7"/>
  </cols>
  <sheetData>
    <row r="1" customFormat="false" ht="15.6" hidden="false" customHeight="false" outlineLevel="0" collapsed="false">
      <c r="A1" s="147" t="s">
        <v>318</v>
      </c>
      <c r="B1" s="147"/>
      <c r="C1" s="148"/>
      <c r="D1" s="52"/>
      <c r="E1" s="52"/>
    </row>
    <row r="2" customFormat="false" ht="15.6" hidden="false" customHeight="false" outlineLevel="0" collapsed="false">
      <c r="A2" s="149" t="s">
        <v>319</v>
      </c>
      <c r="B2" s="149" t="s">
        <v>320</v>
      </c>
      <c r="C2" s="149" t="s">
        <v>321</v>
      </c>
      <c r="D2" s="149" t="s">
        <v>322</v>
      </c>
      <c r="E2" s="149" t="s">
        <v>274</v>
      </c>
    </row>
    <row r="3" customFormat="false" ht="15.6" hidden="false" customHeight="false" outlineLevel="0" collapsed="false">
      <c r="A3" s="150" t="s">
        <v>323</v>
      </c>
      <c r="B3" s="151" t="n">
        <v>0.1</v>
      </c>
      <c r="C3" s="151"/>
      <c r="D3" s="152" t="n">
        <v>42765</v>
      </c>
      <c r="E3" s="153" t="s">
        <v>324</v>
      </c>
    </row>
    <row r="4" customFormat="false" ht="15.6" hidden="false" customHeight="false" outlineLevel="0" collapsed="false">
      <c r="A4" s="153" t="s">
        <v>325</v>
      </c>
      <c r="B4" s="151" t="n">
        <v>0.2</v>
      </c>
      <c r="C4" s="151"/>
      <c r="D4" s="152" t="n">
        <v>42766</v>
      </c>
      <c r="E4" s="153" t="s">
        <v>326</v>
      </c>
    </row>
    <row r="5" customFormat="false" ht="15.6" hidden="false" customHeight="false" outlineLevel="0" collapsed="false">
      <c r="A5" s="153" t="s">
        <v>327</v>
      </c>
      <c r="B5" s="151" t="n">
        <v>0.3</v>
      </c>
      <c r="C5" s="151"/>
      <c r="D5" s="152" t="n">
        <v>42778</v>
      </c>
      <c r="E5" s="153" t="s">
        <v>328</v>
      </c>
    </row>
    <row r="6" customFormat="false" ht="15.6" hidden="false" customHeight="false" outlineLevel="0" collapsed="false">
      <c r="A6" s="153" t="s">
        <v>329</v>
      </c>
      <c r="B6" s="151" t="s">
        <v>330</v>
      </c>
      <c r="C6" s="151"/>
      <c r="D6" s="152" t="n">
        <v>42780</v>
      </c>
      <c r="E6" s="153" t="s">
        <v>331</v>
      </c>
    </row>
    <row r="7" customFormat="false" ht="15.6" hidden="false" customHeight="false" outlineLevel="0" collapsed="false">
      <c r="A7" s="153" t="s">
        <v>325</v>
      </c>
      <c r="B7" s="154" t="s">
        <v>332</v>
      </c>
      <c r="C7" s="154"/>
      <c r="D7" s="152" t="n">
        <v>42781</v>
      </c>
      <c r="E7" s="153" t="s">
        <v>333</v>
      </c>
    </row>
    <row r="8" customFormat="false" ht="15.6" hidden="false" customHeight="false" outlineLevel="0" collapsed="false">
      <c r="A8" s="153" t="s">
        <v>329</v>
      </c>
      <c r="B8" s="154" t="s">
        <v>334</v>
      </c>
      <c r="C8" s="154"/>
      <c r="D8" s="152" t="n">
        <v>42829</v>
      </c>
      <c r="E8" s="153" t="s">
        <v>335</v>
      </c>
    </row>
    <row r="9" customFormat="false" ht="15.6" hidden="false" customHeight="false" outlineLevel="0" collapsed="false">
      <c r="A9" s="153" t="s">
        <v>325</v>
      </c>
      <c r="B9" s="154" t="s">
        <v>334</v>
      </c>
      <c r="C9" s="154"/>
      <c r="D9" s="152" t="n">
        <v>42919</v>
      </c>
      <c r="E9" s="153" t="s">
        <v>336</v>
      </c>
    </row>
    <row r="10" customFormat="false" ht="15.6" hidden="false" customHeight="false" outlineLevel="0" collapsed="false">
      <c r="A10" s="153" t="s">
        <v>325</v>
      </c>
      <c r="B10" s="154" t="s">
        <v>337</v>
      </c>
      <c r="C10" s="154"/>
      <c r="D10" s="152" t="n">
        <v>42963</v>
      </c>
      <c r="E10" s="153" t="s">
        <v>338</v>
      </c>
    </row>
    <row r="11" customFormat="false" ht="15.6" hidden="false" customHeight="false" outlineLevel="0" collapsed="false">
      <c r="A11" s="153" t="s">
        <v>325</v>
      </c>
      <c r="B11" s="154" t="s">
        <v>339</v>
      </c>
      <c r="C11" s="154"/>
      <c r="D11" s="152" t="n">
        <v>43113</v>
      </c>
      <c r="E11" s="153" t="s">
        <v>340</v>
      </c>
    </row>
    <row r="12" customFormat="false" ht="15.6" hidden="false" customHeight="false" outlineLevel="0" collapsed="false">
      <c r="A12" s="153" t="s">
        <v>325</v>
      </c>
      <c r="B12" s="154" t="n">
        <v>1.1</v>
      </c>
      <c r="C12" s="154"/>
      <c r="D12" s="152" t="n">
        <v>43289</v>
      </c>
      <c r="E12" s="153" t="s">
        <v>341</v>
      </c>
    </row>
    <row r="13" customFormat="false" ht="15.6" hidden="false" customHeight="false" outlineLevel="0" collapsed="false">
      <c r="A13" s="153" t="s">
        <v>342</v>
      </c>
      <c r="B13" s="155" t="s">
        <v>343</v>
      </c>
      <c r="C13" s="156"/>
      <c r="D13" s="152" t="n">
        <v>43464</v>
      </c>
      <c r="E13" s="157" t="s">
        <v>344</v>
      </c>
    </row>
    <row r="14" customFormat="false" ht="15.6" hidden="false" customHeight="false" outlineLevel="0" collapsed="false">
      <c r="A14" s="153" t="s">
        <v>345</v>
      </c>
      <c r="B14" s="155" t="s">
        <v>346</v>
      </c>
      <c r="C14" s="156"/>
      <c r="D14" s="152" t="n">
        <v>43469</v>
      </c>
      <c r="E14" s="157" t="s">
        <v>344</v>
      </c>
    </row>
    <row r="15" customFormat="false" ht="409.05" hidden="false" customHeight="true" outlineLevel="0" collapsed="false">
      <c r="A15" s="158" t="s">
        <v>347</v>
      </c>
      <c r="B15" s="154" t="s">
        <v>348</v>
      </c>
      <c r="C15" s="154" t="s">
        <v>349</v>
      </c>
      <c r="D15" s="152" t="n">
        <v>43471</v>
      </c>
      <c r="E15" s="159" t="s">
        <v>350</v>
      </c>
    </row>
    <row r="16" customFormat="false" ht="15.6" hidden="false" customHeight="false" outlineLevel="0" collapsed="false">
      <c r="A16" s="153" t="s">
        <v>342</v>
      </c>
      <c r="B16" s="155" t="s">
        <v>351</v>
      </c>
      <c r="C16" s="154" t="s">
        <v>349</v>
      </c>
      <c r="D16" s="160" t="n">
        <v>43475</v>
      </c>
      <c r="E16" s="157" t="s">
        <v>352</v>
      </c>
    </row>
    <row r="17" customFormat="false" ht="78" hidden="false" customHeight="false" outlineLevel="0" collapsed="false">
      <c r="A17" s="158" t="s">
        <v>347</v>
      </c>
      <c r="B17" s="155" t="s">
        <v>353</v>
      </c>
      <c r="C17" s="154" t="s">
        <v>349</v>
      </c>
      <c r="D17" s="152" t="n">
        <v>43476</v>
      </c>
      <c r="E17" s="158" t="s">
        <v>354</v>
      </c>
    </row>
    <row r="18" customFormat="false" ht="46.8" hidden="false" customHeight="false" outlineLevel="0" collapsed="false">
      <c r="A18" s="158" t="s">
        <v>347</v>
      </c>
      <c r="B18" s="155" t="s">
        <v>355</v>
      </c>
      <c r="C18" s="154" t="s">
        <v>349</v>
      </c>
      <c r="D18" s="152" t="n">
        <v>43478</v>
      </c>
      <c r="E18" s="158" t="s">
        <v>356</v>
      </c>
    </row>
    <row r="19" customFormat="false" ht="46.8" hidden="false" customHeight="false" outlineLevel="0" collapsed="false">
      <c r="A19" s="158" t="s">
        <v>347</v>
      </c>
      <c r="B19" s="155" t="s">
        <v>357</v>
      </c>
      <c r="C19" s="154" t="s">
        <v>349</v>
      </c>
      <c r="D19" s="152" t="n">
        <v>43478</v>
      </c>
      <c r="E19" s="158" t="s">
        <v>358</v>
      </c>
    </row>
    <row r="20" customFormat="false" ht="109.2" hidden="false" customHeight="false" outlineLevel="0" collapsed="false">
      <c r="A20" s="158" t="s">
        <v>342</v>
      </c>
      <c r="B20" s="155" t="s">
        <v>359</v>
      </c>
      <c r="C20" s="154" t="s">
        <v>3</v>
      </c>
      <c r="D20" s="152" t="n">
        <v>43641</v>
      </c>
      <c r="E20" s="159" t="s">
        <v>360</v>
      </c>
    </row>
    <row r="21" customFormat="false" ht="15.6" hidden="false" customHeight="false" outlineLevel="0" collapsed="false">
      <c r="A21" s="158" t="s">
        <v>342</v>
      </c>
      <c r="B21" s="155" t="s">
        <v>361</v>
      </c>
      <c r="C21" s="154" t="s">
        <v>3</v>
      </c>
      <c r="D21" s="152" t="n">
        <v>43642</v>
      </c>
      <c r="E21" s="158" t="s">
        <v>362</v>
      </c>
    </row>
    <row r="22" customFormat="false" ht="46.8" hidden="false" customHeight="false" outlineLevel="0" collapsed="false">
      <c r="A22" s="158" t="s">
        <v>342</v>
      </c>
      <c r="B22" s="155" t="s">
        <v>363</v>
      </c>
      <c r="C22" s="154" t="s">
        <v>3</v>
      </c>
      <c r="D22" s="152" t="n">
        <v>43649</v>
      </c>
      <c r="E22" s="158" t="s">
        <v>364</v>
      </c>
    </row>
    <row r="23" customFormat="false" ht="15.6" hidden="false" customHeight="false" outlineLevel="0" collapsed="false">
      <c r="A23" s="158" t="s">
        <v>342</v>
      </c>
      <c r="B23" s="155" t="s">
        <v>363</v>
      </c>
      <c r="C23" s="154" t="s">
        <v>3</v>
      </c>
      <c r="D23" s="152" t="n">
        <v>43672</v>
      </c>
      <c r="E23" s="158" t="s">
        <v>365</v>
      </c>
    </row>
    <row r="24" customFormat="false" ht="15.6" hidden="false" customHeight="false" outlineLevel="0" collapsed="false">
      <c r="A24" s="158" t="s">
        <v>342</v>
      </c>
      <c r="B24" s="155" t="s">
        <v>363</v>
      </c>
      <c r="C24" s="154" t="s">
        <v>3</v>
      </c>
      <c r="D24" s="152" t="n">
        <v>43674</v>
      </c>
      <c r="E24" s="158" t="s">
        <v>366</v>
      </c>
    </row>
    <row r="25" customFormat="false" ht="37.8" hidden="false" customHeight="false" outlineLevel="0" collapsed="false">
      <c r="A25" s="158" t="s">
        <v>342</v>
      </c>
      <c r="B25" s="155" t="s">
        <v>367</v>
      </c>
      <c r="C25" s="154" t="s">
        <v>3</v>
      </c>
      <c r="D25" s="152" t="n">
        <v>43685</v>
      </c>
      <c r="E25" s="158" t="s">
        <v>368</v>
      </c>
    </row>
    <row r="26" customFormat="false" ht="37.3" hidden="false" customHeight="false" outlineLevel="0" collapsed="false">
      <c r="A26" s="158" t="s">
        <v>369</v>
      </c>
      <c r="B26" s="155" t="s">
        <v>367</v>
      </c>
      <c r="C26" s="154" t="s">
        <v>3</v>
      </c>
      <c r="D26" s="152" t="n">
        <v>43719</v>
      </c>
      <c r="E26" s="158" t="s">
        <v>370</v>
      </c>
    </row>
  </sheetData>
  <mergeCells count="1">
    <mergeCell ref="A1:B1"/>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130</TotalTime>
  <Application>LibreOffice/6.4.0.3$Windows_X86_64 LibreOffice_project/b0a288ab3d2d4774cb44b62f04d5d28733ac6df8</Application>
  <Company>Opera Software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2017-01-25T17:37:15Z</dcterms:created>
  <dc:creator>Alexander Antukh</dc:creator>
  <dc:description/>
  <dc:language>de-DE</dc:language>
  <cp:lastModifiedBy/>
  <dcterms:modified xsi:type="dcterms:W3CDTF">2020-04-27T14:01:08Z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Opera Software</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