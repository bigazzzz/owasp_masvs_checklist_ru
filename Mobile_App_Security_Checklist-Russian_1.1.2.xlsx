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15.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29.xml" ContentType="application/vnd.openxmlformats-officedocument.drawingml.chart+xml"/>
  <Override PartName="/xl/charts/chart30.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<sst xmlns="http://schemas.openxmlformats.org/spreadsheetml/2006/main" count="995" uniqueCount="371">
  <si>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</si>
  <si>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</si>
  <si>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</si>
  <si>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</si>
  <si>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</si>
  <si>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</si>
  <si>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</si>
  <si>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</si>
  <si>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</si>
  <si>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</si>
  <si>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</si>
  <si>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</si>
  <si>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</si>
  <si>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</si>
  <si>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</si>
  <si>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</si>
  <si>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</si>
  <si>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</si>
  <si>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</si>
  <si>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</si>
  <si>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</si>
  <si>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</si>
  <si>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</si>
  <si>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</si>
  <si>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</si>
  <si>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</si>
  <si>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</si>
  <si>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</si>
  <si>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</si>
  <si>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</si>
  <si>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</si>
  <si>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</si>
  <si>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</si>
  <si>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</si>
  <si>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</si>
  <si>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</si>
  <si>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</si>
  <si>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</si>
  <si>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</si>
  <si>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</si>
  <si>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</si>
  <si>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</si>
  <si>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</si>
  <si>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</si>
  <si>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</si>
  <si>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</si>
  <si>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</si>
  <si>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</si>
  <si>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</si>
  <si>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</si>
  <si>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</si>
  <si>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</si>
  <si>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</si>
  <si>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</si>
  <si>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</si>
  <si>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</si>
  <si>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</si>
  <si>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</si>
  <si>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</si>
  <si>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</si>
  <si>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</si>
  <si>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</si>
  <si>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</si>
  <si>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</si>
  <si>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</si>
  <si>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</si>
  <si>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</si>
  <si>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</si>
  <si>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</si>
  <si>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</si>
  <si>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</si>
  <si>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</si>
  <si>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</si>
  <si>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</si>
  <si>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</si>
  <si>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</si>
  <si>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</si>
  <si>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</si>
  <si>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</si>
  <si>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</si>
  <si>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</si>
  <si>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</si>
  <si>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</si>
  <si>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</si>
  <si>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</si>
  <si>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</si>
  <si>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</si>
  <si>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</si>
  <si>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</si>
  <si>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</si>
  <si>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</si>
  <si>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</si>
  <si>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</si>
  <si>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</si>
  <si>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</si>
  <si>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</si>
  <si>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</si>
  <si>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</si>
  <si>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</si>
  <si>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</si>
  <si>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</si>
  <si>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</si>
  <si>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</si>
  <si>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</si>
  <si>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</si>
  <si>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</si>
  <si>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</si>
  <si>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</si>
  <si>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</si>
  <si>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</si>
  <si>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</si>
  <si>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</si>
  <si>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</si>
  <si>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</si>
  <si>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</si>
  <si>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</si>
  <si>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</si>
  <si>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</si>
  <si>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</si>
  <si>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</si>
  <si>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</si>
  <si>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</si>
  <si>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</si>
  <si>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</si>
  <si>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</si>
  <si>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</si>
  <si>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</si>
  <si>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</si>
  <si>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</si>
  <si>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</si>
  <si>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</si>
  <si>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</si>
  <si>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</si>
  <si>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</si>
  <si>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</si>
  <si>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</si>
  <si>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</si>
  <si>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</si>
  <si>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</si>
  <si>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</si>
  <si>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</si>
  <si>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</si>
  <si>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</si>
  <si>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</si>
  <si>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</si>
  <si>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</si>
  <si>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</si>
  <si>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</si>
  <si>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</si>
  <si>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</si>
  <si>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</si>
  <si>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</si>
  <si>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</si>
  <si>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</si>
  <si>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</si>
  <si>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</si>
  <si>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</si>
  <si>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</si>
  <si>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</si>
  <si>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</si>
  <si>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</si>
  <si>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</si>
  <si>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</si>
  <si>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</si>
  <si>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</si>
  <si>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</si>
  <si>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</si>
  <si>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</si>
  <si>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</si>
  <si>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</si>
  <si>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</si>
  <si>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</si>
  <si>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</si>
  <si>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</si>
  <si>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</si>
  <si>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</si>
  <si>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</si>
  <si>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</si>
  <si>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</si>
  <si>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</si>
  <si>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</si>
  <si>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</si>
  <si>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</si>
  <si>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</si>
  <si>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</si>
  <si>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</si>
  <si>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</si>
  <si>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</si>
  <si>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</si>
  <si>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</si>
  <si>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</si>
  <si>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</si>
  <si>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</si>
  <si>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</si>
  <si>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</si>
  <si>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</si>
  <si>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</si>
  <si>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</si>
  <si>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</si>
  <si>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</si>
  <si>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</si>
  <si>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</si>
  <si>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</si>
  <si>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</si>
  <si>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</si>
  <si>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</si>
  <si>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</si>
  <si>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</si>
  <si>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</si>
  <si>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</si>
  <si>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</si>
  <si>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</si>
  <si>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</si>
  <si>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</si>
  <si>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</si>
  <si>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</si>
  <si>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</si>
  <si>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</si>
  <si>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</si>
  <si>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</si>
  <si>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</si>
  <si>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</si>
  <si>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</si>
  <si>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</si>
  <si>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</si>
  <si>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</si>
  <si>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</si>
  <si>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</si>
  <si>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</si>
  <si>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</si>
  <si>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</si>
  <si>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</si>
  <si>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</si>
  <si>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</si>
  <si>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</si>
  <si>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</si>
  <si>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</si>
  <si>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</si>
  <si>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</si>
  <si>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</si>
  <si>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</si>
  <si>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</si>
  <si>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</si>
  <si>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</si>
  <si>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</si>
  <si>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</si>
  <si>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</si>
  <si>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</si>
  <si>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</si>
  <si>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</si>
  <si>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</si>
  <si>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</si>
  <si>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</si>
  <si>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</si>
  <si>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</si>
  <si>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</si>
  <si>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</si>
  <si>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</si>
  <si>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</si>
  <si>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</si>
  <si>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</si>
  <si>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</si>
  <si>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</si>
  <si>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</si>
  <si>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</si>
  <si>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</si>
  <si>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</si>
  <si>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</si>
  <si>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</si>
  <si>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</si>
  <si>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</si>
  <si>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</si>
  <si>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</si>
  <si>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</si>
  <si>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</si>
  <si>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</si>
  <si>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</si>
  <si>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</si>
  <si>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</si>
  <si>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</si>
  <si>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</si>
  <si>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</si>
  <si>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</si>
  <si>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</si>
  <si>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</si>
  <si>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</si>
  <si>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</si>
  <si>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</si>
  <si>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</si>
  <si>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</si>
  <si>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</si>
  <si>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</si>
  <si>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</si>
  <si>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</si>
  <si>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</si>
  <si>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</si>
  <si>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</si>
  <si>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</si>
  <si>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</si>
  <si>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</si>
  <si>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</si>
  <si>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</si>
  <si>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</si>
  <si>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</si>
  <si>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</si>
  <si>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</si>
  <si>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</si>
  <si>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</si>
  <si>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</si>
  <si>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</si>
  <si>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</si>
  <si>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</si>
  <si>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</si>
  <si>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</si>
  <si>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</si>
  <si>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Status</t>
  </si>
  <si>
    <t xml:space="preserve">Testing Procedure(s)</t>
  </si>
  <si>
    <t xml:space="preserve">Comment</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</si>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</sst>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4">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u val="single"/>
      <sz val="12"/>
      <color rgb="FF5F5F5F"/>
      <name val="Calibri"/>
      <family val="2"/>
      <charset val="204"/>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4"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18" xfId="20" applyFont="false" applyBorder="true" applyAlignment="true" applyProtection="true">
      <alignment horizontal="left" vertical="bottom" textRotation="0" wrapText="false" indent="0" shrinkToFit="false"/>
      <protection locked="true" hidden="false"/>
    </xf>
    <xf numFmtId="168" fontId="8" fillId="0" borderId="21" xfId="20" applyFont="false" applyBorder="true" applyAlignment="true" applyProtection="true">
      <alignment horizontal="general"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fals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center" textRotation="0" wrapText="false" indent="0" shrinkToFit="false"/>
      <protection locked="true" hidden="false"/>
    </xf>
    <xf numFmtId="164" fontId="31" fillId="0" borderId="0" xfId="20" applyFont="true" applyBorder="true" applyAlignment="true" applyProtection="true">
      <alignment horizontal="general" vertical="bottom" textRotation="0" wrapText="fals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2"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2" fillId="0" borderId="23" xfId="0" applyFont="true" applyBorder="true" applyAlignment="true" applyProtection="false">
      <alignment horizontal="left" vertical="bottom" textRotation="0" wrapText="false" indent="0" shrinkToFit="false"/>
      <protection locked="true" hidden="false"/>
    </xf>
    <xf numFmtId="164" fontId="32" fillId="0" borderId="0" xfId="0" applyFont="true" applyBorder="true" applyAlignment="true" applyProtection="false">
      <alignment horizontal="left"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3"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3"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2" fillId="0" borderId="6" xfId="0" applyFont="true" applyBorder="true" applyAlignment="true" applyProtection="false">
      <alignment horizontal="general" vertical="bottom" textRotation="0" wrapText="true" indent="0" shrinkToFit="false"/>
      <protection locked="true" hidden="false"/>
    </xf>
    <xf numFmtId="172" fontId="33"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3">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4589493"/>
        <c:axId val="3279746"/>
      </c:radarChart>
      <c:catAx>
        <c:axId val="4589493"/>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3279746"/>
        <c:crosses val="autoZero"/>
        <c:auto val="1"/>
        <c:lblAlgn val="ctr"/>
        <c:lblOffset val="100"/>
        <c:noMultiLvlLbl val="0"/>
      </c:catAx>
      <c:valAx>
        <c:axId val="3279746"/>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4589493"/>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3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5850423"/>
        <c:axId val="68639316"/>
      </c:radarChart>
      <c:catAx>
        <c:axId val="5850423"/>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68639316"/>
        <c:crosses val="autoZero"/>
        <c:auto val="1"/>
        <c:lblAlgn val="ctr"/>
        <c:lblOffset val="100"/>
        <c:noMultiLvlLbl val="0"/>
      </c:catAx>
      <c:valAx>
        <c:axId val="68639316"/>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5850423"/>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15.png"/>
</Relationships>
</file>

<file path=xl/drawings/_rels/drawing2.xml.rels><?xml version="1.0" encoding="UTF-8"?>
<Relationships xmlns="http://schemas.openxmlformats.org/package/2006/relationships"><Relationship Id="rId1" Type="http://schemas.openxmlformats.org/officeDocument/2006/relationships/chart" Target="../charts/chart29.xml"/><Relationship Id="rId2" Type="http://schemas.openxmlformats.org/officeDocument/2006/relationships/chart" Target="../charts/chart3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75" zoomScaleNormal="75"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H1" colorId="64" zoomScale="75" zoomScaleNormal="75" zoomScalePageLayoutView="100" workbookViewId="0">
      <selection pane="topLeft" activeCell="H16" activeCellId="0" sqref="H16"/>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HYPERLINK(CONCATENATE(BASE_URL,"0x05g-Testing-Network-Communication.md#testing-endpoint-identify-verification-mstg-network-3"),"Проверка идентификации конечной точки (MSTG-NETWORK-3)")</f>
        <v>Проверка идентификации конечной точки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HYPERLINK(CONCATENATE(BASE_URL,"0x05g-Testing-Network-Communication.md#testing-custom-certificate-stores-and-certificate-pinning-mstg-network-4"),"Тестирование пользовательских хранилищ сертификатов и сохраненных сертификатов (MSTG-NETWORK-4)")</f>
        <v>Тестирование пользовательских хранилищ сертификатов и сохраненных сертификатов (MSTG-NETWORK-4)</v>
      </c>
      <c r="I51" s="90" t="str">
        <f aca="false">HYPERLINK(CONCATENATE(BASE_URL,"0x05g-Testing-Network-Communication.md#testing-the-network-security-configuration-settings-mstg-network-4"),"Тестирование настроек конфигурации безопасности сети (MSTG-NETWORK-4)")</f>
        <v>Тестирование настроек конфигурации безопасности сети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HYPERLINK(CONCATENATE(BASE_URL,"0x05g-Testing-Network-Communication.md#testing-the-security-provider-mstg-network-6"),"Тестирование провайдера безопасности (MSTG-NETWORK-6)")</f>
        <v>Тестирование провайдера безопасности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HYPERLINK(CONCATENATE(BASE_URL,"0x04h-Testing-Code-Quality.md#testing-for-injection-flaws-mstg-platform-2"),"Проверка на инъекции (MSTG-PLATFORM-2)")</f>
        <v>Проверка на инъекции (MSTG-PLATFORM-2)</v>
      </c>
      <c r="I56" s="90" t="str">
        <f aca="false">HYPERLINK(CONCATENATE(BASE_URL,"0x04h-Testing-Code-Quality.md#testing-for-fragment-injection-mstg-platform-2"),"Проверка инъекции фрагмента (MSTG-PLATFORM-2)")</f>
        <v>Проверка инъекции фрагмента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HYPERLINK(CONCATENATE(BASE_URL,"0x05h-Testing-Platform-Interaction.md#testing-javascript-execution-in-webviews-mstg-platform-5"),"Проверка исполнения JavaScript-кода в WebViews (MSTG-PLATFORM-5)")</f>
        <v>Проверка исполнения JavaScript-кода в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HYPERLINK(CONCATENATE(BASE_URL,"0x05h-Testing-Platform-Interaction.md#determining-whether-java-objects-are-exposed-through-webviews-mstg-platform-7"),"Проверка на раскрытие Java-объектов в WebViews (MSTG-PLATFORM-7)")</f>
        <v>Проверка на раскрытие Java-объектов в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HYPERLINK(CONCATENATE(BASE_URL,"0x05i-Testing-Code-Quality-and-Build-Settings.md#testing-whether-the-app-is-debuggable-mstg-code-2"),"Проверка включенного debug-режима(MSTG-CODE-2)")</f>
        <v>Проверка включенного debug-режима(MSTG-CODE-2)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HYPERLINK(CONCATENATE(BASE_URL,"0x05i-Testing-Code-Quality-and-Build-Settings.md#checking-for-weaknesses-in-third-party-libraries-mstg-code-5"),"Проверка уязвимостей в сторонних библиотеках (MSTG-CODE-5)")</f>
        <v>Проверка уязвимостей в сторонних библиотеках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HYPERLINK(CONCATENATE(BASE_URL,"0x04h-Testing-Code-Quality.md#memory-corruption-bugs-mstg-code-8"),"Ошибки памяти (MSTG-CODE-8)")</f>
        <v>Ошибки памяти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G15" activeCellId="0" sqref="G15"/>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56</v>
      </c>
      <c r="G3" s="121" t="s">
        <v>57</v>
      </c>
      <c r="H3" s="58" t="s">
        <v>58</v>
      </c>
    </row>
    <row r="4" customFormat="false" ht="15" hidden="false" customHeight="false" outlineLevel="0" collapsed="false">
      <c r="B4" s="79"/>
      <c r="C4" s="80"/>
      <c r="D4" s="81" t="s">
        <v>272</v>
      </c>
      <c r="E4" s="82"/>
      <c r="F4" s="82"/>
      <c r="G4" s="122"/>
      <c r="H4" s="86"/>
    </row>
    <row r="5" customFormat="false" ht="23.85" hidden="false" customHeight="false" outlineLevel="0" collapsed="false">
      <c r="B5" s="65" t="s">
        <v>273</v>
      </c>
      <c r="C5" s="66" t="s">
        <v>274</v>
      </c>
      <c r="D5" s="96" t="s">
        <v>275</v>
      </c>
      <c r="E5" s="123" t="s">
        <v>64</v>
      </c>
      <c r="F5" s="70" t="s">
        <v>77</v>
      </c>
      <c r="G5" s="124" t="str">
        <f aca="false">HYPERLINK(CONCATENATE(BASE_URL,"0x05j-Testing-Resiliency-Against-Reverse-Engineering.md#testing-root-detection-mstg-resilience-1"),"Проверка наличия root-прав (MSTG-RESILIENCE-1)")</f>
        <v>Проверка наличия root-прав (MSTG-RESILIENCE-1)</v>
      </c>
      <c r="H5" s="125"/>
    </row>
    <row r="6" customFormat="false" ht="23.85" hidden="false" customHeight="false" outlineLevel="0" collapsed="false">
      <c r="B6" s="65" t="s">
        <v>276</v>
      </c>
      <c r="C6" s="66" t="s">
        <v>277</v>
      </c>
      <c r="D6" s="96" t="s">
        <v>278</v>
      </c>
      <c r="E6" s="123" t="s">
        <v>64</v>
      </c>
      <c r="F6" s="70" t="s">
        <v>77</v>
      </c>
      <c r="G6" s="126" t="str">
        <f aca="false">HYPERLINK(CONCATENATE(BASE_URL,"0x05j-Testing-Resiliency-Against-Reverse-Engineering.md#testing-anti-debugging-detection-mstg-resilience-2"),"Проверка определения отладчиков (MSTG-RESILIENCE-2)")</f>
        <v>Проверка определения отладчиков (MSTG-RESILIENCE-2)</v>
      </c>
      <c r="H6" s="125"/>
    </row>
    <row r="7" customFormat="false" ht="23.85" hidden="false" customHeight="false" outlineLevel="0" collapsed="false">
      <c r="B7" s="65" t="s">
        <v>279</v>
      </c>
      <c r="C7" s="66" t="s">
        <v>280</v>
      </c>
      <c r="D7" s="92" t="s">
        <v>281</v>
      </c>
      <c r="E7" s="123" t="s">
        <v>64</v>
      </c>
      <c r="F7" s="70" t="s">
        <v>77</v>
      </c>
      <c r="G7" s="124" t="str">
        <f aca="false">HYPERLINK(CONCATENATE(BASE_URL,"0x05j-Testing-Resiliency-Against-Reverse-Engineering.md#testing-file-integrity-checks-mstg-resilience-3"),"Проверка целостности файлов (MSTG-RESILIENCE-3)")</f>
        <v>Проверка целостности файлов (MSTG-RESILIENCE-3)</v>
      </c>
      <c r="H7" s="125"/>
    </row>
    <row r="8" customFormat="false" ht="23.85" hidden="false" customHeight="false" outlineLevel="0" collapsed="false">
      <c r="B8" s="65" t="s">
        <v>282</v>
      </c>
      <c r="C8" s="66" t="s">
        <v>283</v>
      </c>
      <c r="D8" s="92" t="s">
        <v>284</v>
      </c>
      <c r="E8" s="123" t="s">
        <v>64</v>
      </c>
      <c r="F8" s="70" t="s">
        <v>77</v>
      </c>
      <c r="G8" s="124" t="str">
        <f aca="false">HYPERLINK(CONCATENATE(BASE_URL,"0x05j-Testing-Resiliency-Against-Reverse-Engineering.md#testing-reverse-engineering-tools-detection-mstg-resilience-4"),"Проверка определения инструментов reverse engineering (MSTG-RESILIENCE-4)")</f>
        <v>Проверка определения инструментов reverse engineering (MSTG-RESILIENCE-4)</v>
      </c>
      <c r="H8" s="125"/>
    </row>
    <row r="9" customFormat="false" ht="15" hidden="false" customHeight="false" outlineLevel="0" collapsed="false">
      <c r="B9" s="65" t="s">
        <v>285</v>
      </c>
      <c r="C9" s="66" t="s">
        <v>286</v>
      </c>
      <c r="D9" s="92" t="s">
        <v>287</v>
      </c>
      <c r="E9" s="123" t="s">
        <v>64</v>
      </c>
      <c r="F9" s="70" t="s">
        <v>77</v>
      </c>
      <c r="G9" s="124" t="str">
        <f aca="false">HYPERLINK(CONCATENATE(BASE_URL,"0x05j-Testing-Resiliency-Against-Reverse-Engineering.md#testing-emulator-detection-mstg-resilience-5"),"Проверка определения эмулятора (MSTG-RESILIENCE-5)")</f>
        <v>Проверка определения эмулятора (MSTG-RESILIENCE-5)</v>
      </c>
      <c r="H9" s="125"/>
    </row>
    <row r="10" customFormat="false" ht="15" hidden="false" customHeight="false" outlineLevel="0" collapsed="false">
      <c r="B10" s="65" t="s">
        <v>288</v>
      </c>
      <c r="C10" s="66" t="s">
        <v>289</v>
      </c>
      <c r="D10" s="92" t="s">
        <v>290</v>
      </c>
      <c r="E10" s="123" t="s">
        <v>64</v>
      </c>
      <c r="F10" s="70" t="s">
        <v>77</v>
      </c>
      <c r="G10" s="124" t="str">
        <f aca="false">HYPERLINK(CONCATENATE(BASE_URL,"0x05j-Testing-Resiliency-Against-Reverse-Engineering.md#testing-run-time-integrity-checks-mstg-resilience-6"),"Проверка целостности во время выполнения (MSTG-RESILIENCE-6)")</f>
        <v>Проверка целостности во время выполнения (MSTG-RESILIENCE-6)</v>
      </c>
      <c r="H10" s="125"/>
    </row>
    <row r="11" customFormat="false" ht="23.85" hidden="false" customHeight="false" outlineLevel="0" collapsed="false">
      <c r="B11" s="65" t="s">
        <v>291</v>
      </c>
      <c r="C11" s="66" t="s">
        <v>292</v>
      </c>
      <c r="D11" s="96" t="s">
        <v>293</v>
      </c>
      <c r="E11" s="123" t="s">
        <v>64</v>
      </c>
      <c r="F11" s="70" t="s">
        <v>77</v>
      </c>
      <c r="G11" s="127" t="s">
        <v>294</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3.85" hidden="false" customHeight="false" outlineLevel="0" collapsed="false">
      <c r="B13" s="65" t="s">
        <v>299</v>
      </c>
      <c r="C13" s="66" t="s">
        <v>300</v>
      </c>
      <c r="D13" s="92" t="s">
        <v>301</v>
      </c>
      <c r="E13" s="123" t="s">
        <v>64</v>
      </c>
      <c r="F13" s="70" t="s">
        <v>77</v>
      </c>
      <c r="G13" s="124" t="str">
        <f aca="false">HYPERLINK(CONCATENATE(BASE_URL,"0x05j-Testing-Resiliency-Against-Reverse-Engineering.md#testing-obfuscation-mstg-resilience-9"),"Проверка на обфускацию (MSTG-RESILIENCE-9)")</f>
        <v>Проверка на обфускацию (MSTG-RESILIENCE-9)</v>
      </c>
      <c r="H13" s="125"/>
    </row>
    <row r="14" customFormat="false" ht="15" hidden="false" customHeight="false" outlineLevel="0" collapsed="false">
      <c r="B14" s="79"/>
      <c r="C14" s="80"/>
      <c r="D14" s="81" t="s">
        <v>302</v>
      </c>
      <c r="E14" s="82"/>
      <c r="F14" s="82"/>
      <c r="G14" s="122"/>
      <c r="H14" s="86"/>
    </row>
    <row r="15" customFormat="false" ht="23.85" hidden="false" customHeight="false" outlineLevel="0" collapsed="false">
      <c r="B15" s="65" t="s">
        <v>303</v>
      </c>
      <c r="C15" s="66" t="s">
        <v>304</v>
      </c>
      <c r="D15" s="96" t="s">
        <v>305</v>
      </c>
      <c r="E15" s="123" t="s">
        <v>64</v>
      </c>
      <c r="F15" s="70" t="s">
        <v>77</v>
      </c>
      <c r="G15" s="124" t="str">
        <f aca="false">HYPERLINK(CONCATENATE(BASE_URL,"0x05j-Testing-Resiliency-Against-Reverse-Engineering.md#testing-device-binding-mstg-resilience-10"),"Тестирование привязки к устройству (MSTG-RESILIENCE-10)")</f>
        <v>Тестирование привязки к устройству (MSTG-RESILIENCE-10)</v>
      </c>
      <c r="H15" s="125"/>
    </row>
    <row r="16" customFormat="false" ht="15" hidden="false" customHeight="false" outlineLevel="0" collapsed="false">
      <c r="B16" s="79"/>
      <c r="C16" s="80"/>
      <c r="D16" s="81" t="s">
        <v>306</v>
      </c>
      <c r="E16" s="82"/>
      <c r="F16" s="82"/>
      <c r="G16" s="122"/>
      <c r="H16" s="86"/>
    </row>
    <row r="17" customFormat="false" ht="35.05" hidden="false" customHeight="false" outlineLevel="0" collapsed="false">
      <c r="B17" s="65" t="s">
        <v>307</v>
      </c>
      <c r="C17" s="66" t="s">
        <v>308</v>
      </c>
      <c r="D17" s="96" t="s">
        <v>309</v>
      </c>
      <c r="E17" s="123" t="s">
        <v>64</v>
      </c>
      <c r="F17" s="70" t="s">
        <v>77</v>
      </c>
      <c r="G17" s="124" t="str">
        <f aca="false">HYPERLINK(CONCATENATE(BASE_URL,"0x05j-Testing-Resiliency-Against-Reverse-Engineering.md#testing-obfuscation-mstg-resilience-9"),"Проверка на обфускацию (MSTG-RESILIENCE-9)")</f>
        <v>Проверка на обфускацию (MSTG-RESILIENCE-9)</v>
      </c>
      <c r="H17" s="125"/>
    </row>
    <row r="18" customFormat="false" ht="57.45" hidden="false" customHeight="false" outlineLevel="0" collapsed="false">
      <c r="B18" s="65" t="s">
        <v>310</v>
      </c>
      <c r="C18" s="66" t="s">
        <v>311</v>
      </c>
      <c r="D18" s="96" t="s">
        <v>312</v>
      </c>
      <c r="E18" s="123" t="s">
        <v>64</v>
      </c>
      <c r="F18" s="70" t="s">
        <v>77</v>
      </c>
      <c r="G18" s="128" t="s">
        <v>294</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E25" colorId="64" zoomScale="75" zoomScaleNormal="75" zoomScalePageLayoutView="100" workbookViewId="0">
      <selection pane="topLeft" activeCell="J41" activeCellId="0" sqref="J41"/>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313</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"Информация об архитектуре")</f>
        <v>Информация об архитектуре</v>
      </c>
      <c r="I5" s="76"/>
      <c r="J5" s="76"/>
      <c r="K5" s="73"/>
    </row>
    <row r="6" customFormat="false" ht="15" hidden="false" customHeight="false" outlineLevel="0" collapsed="false">
      <c r="B6" s="65" t="s">
        <v>65</v>
      </c>
      <c r="C6" s="66" t="s">
        <v>66</v>
      </c>
      <c r="D6" s="67" t="s">
        <v>67</v>
      </c>
      <c r="E6" s="68" t="s">
        <v>64</v>
      </c>
      <c r="F6" s="69" t="s">
        <v>64</v>
      </c>
      <c r="G6" s="70"/>
      <c r="H6" s="135" t="str">
        <f aca="false">HYPERLINK(CONCATENATE( BASE_URL, "0x04h-Testing-Code-Quality.md#injection-flaws-mstg-arch-2-and-mstg-platform-2"), "Ошибка инъекции (MSTG-ARCH-2 and MSTG-PLATFORM-2)")</f>
        <v>Ошибка инъекции (MSTG-ARCH-2 and MSTG-PLATFORM-2)</v>
      </c>
      <c r="I6" s="136"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137"/>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"Информация об окружении")</f>
        <v>Информация об окружении</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136" t="str">
        <f aca="false">HYPERLINK(CONCATENATE( BASE_URL, "0x04b-Mobile-App-Security-Testing.md#principles-of-testing"), "Принципы тестирования")</f>
        <v>Принципы тестирования</v>
      </c>
      <c r="I11" s="138" t="str">
        <f aca="false">HYPERLINK(CONCATENATE( BASE_URL, "0x04b-Mobile-App-Security-Testing.md#penetration-testing-aka-pentesting"), "Тестирование на проникновение (a.k.a. Pentesting)")</f>
        <v>Тестирование на проникновение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"0x06h-Testing-Platform-Interaction.md#testing-enforced-updating-mstg-arch-9"),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3.85" hidden="false" customHeight="false" outlineLevel="0" collapsed="false">
      <c r="B16" s="87" t="s">
        <v>95</v>
      </c>
      <c r="C16" s="88" t="s">
        <v>96</v>
      </c>
      <c r="D16" s="67" t="s">
        <v>97</v>
      </c>
      <c r="E16" s="68" t="s">
        <v>64</v>
      </c>
      <c r="F16" s="69" t="s">
        <v>64</v>
      </c>
      <c r="G16" s="70"/>
      <c r="H16"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76"/>
      <c r="J16" s="76"/>
      <c r="K16" s="73"/>
    </row>
    <row r="17" customFormat="false" ht="24.85" hidden="false" customHeight="false" outlineLevel="0" collapsed="false">
      <c r="B17" s="87" t="s">
        <v>98</v>
      </c>
      <c r="C17" s="88" t="s">
        <v>99</v>
      </c>
      <c r="D17" s="67" t="s">
        <v>100</v>
      </c>
      <c r="E17" s="68"/>
      <c r="F17" s="69"/>
      <c r="G17" s="70"/>
      <c r="H17"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90" t="str">
        <f aca="false">HYPERLINK(CONCATENATE(BASE_URL,"0x06d-Testing-Data-Storage.md#checking-logs-for-sensitive-data-mstg-storage-3"),"Проверка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139" t="str">
        <f aca="false">HYPERLINK(CONCATENATE(BASE_URL,"0x06d-Testing-Data-Storage.md#determining-whether-sensitive-data-is-sent-to-third-parties-mstg-storage-4"),"Проверка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139" t="str">
        <f aca="false">HYPERLINK(CONCATENATE(BASE_URL,"0x06d-Testing-Data-Storage.md#finding-sensitive-data-in-the-keyboard-cache-mstg-storage-5"),"Проверка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25.35" hidden="false" customHeight="false" outlineLevel="0" collapsed="false">
      <c r="B21" s="87" t="s">
        <v>110</v>
      </c>
      <c r="C21" s="88" t="s">
        <v>111</v>
      </c>
      <c r="D21" s="92" t="s">
        <v>112</v>
      </c>
      <c r="E21" s="68" t="s">
        <v>64</v>
      </c>
      <c r="F21" s="69" t="s">
        <v>64</v>
      </c>
      <c r="G21" s="70"/>
      <c r="H21" s="139" t="str">
        <f aca="false">HYPERLINK(CONCATENATE(BASE_URL,"0x06d-Testing-Data-Storage.md#determining-whether-sensitive-data-is-exposed-via-ipc-mechanisms-mstg-storage-6"),"Проверка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140" t="str">
        <f aca="false">HYPERLINK(CONCATENATE(BASE_URL,"0x06d-Testing-Data-Storage.md#checking-for-sensitive-data-disclosed-through-the-user-interface-mstg-storage-7"),"Проверка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140" t="str">
        <f aca="false">HYPERLINK(CONCATENATE(BASE_URL,"0x06d-Testing-Data-Storage.md#testing-backups-for-sensitive-data-mstg-storage-8"),"Тестирование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140" t="str">
        <f aca="false">HYPERLINK(CONCATENATE(BASE_URL,"0x06d-Testing-Data-Storage.md#testing-auto-generated-screenshots-for-sensitive-information-mstg-storage-9"),"Поиск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4.85" hidden="false" customHeight="false" outlineLevel="0" collapsed="false">
      <c r="B25" s="87" t="s">
        <v>122</v>
      </c>
      <c r="C25" s="88" t="s">
        <v>123</v>
      </c>
      <c r="D25" s="92" t="s">
        <v>124</v>
      </c>
      <c r="E25" s="93"/>
      <c r="F25" s="69" t="s">
        <v>64</v>
      </c>
      <c r="G25" s="70" t="s">
        <v>77</v>
      </c>
      <c r="H25" s="140" t="str">
        <f aca="false">HYPERLINK(CONCATENATE(BASE_URL,"0x06d-Testing-Data-Storage.md#testing-memory-for-sensitive-data-mstg-storage-10"),"Проверка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4.85" hidden="false" customHeight="false" outlineLevel="0" collapsed="false">
      <c r="B26" s="87" t="s">
        <v>125</v>
      </c>
      <c r="C26" s="88" t="s">
        <v>126</v>
      </c>
      <c r="D26" s="92" t="s">
        <v>127</v>
      </c>
      <c r="E26" s="93"/>
      <c r="F26" s="69" t="s">
        <v>64</v>
      </c>
      <c r="G26" s="70" t="s">
        <v>77</v>
      </c>
      <c r="H26" s="140" t="str">
        <f aca="false">HYPERLINK(CONCATENATE(BASE_URL,"0x06f-Testing-Local-Authentication.md#testing-local-authentication-mstg-auth-8-and-mstg-storage-11"),"Проверка политики безопасности доступа к устройству (MSTG-STORAGE-11)")</f>
        <v>Проверка политики безопасности доступа к устройству (MSTG-STORAGE-11)</v>
      </c>
      <c r="I26" s="76"/>
      <c r="J26" s="76"/>
      <c r="K26" s="73"/>
      <c r="L26" s="141"/>
    </row>
    <row r="27" customFormat="false" ht="24.85" hidden="false" customHeight="false" outlineLevel="0" collapsed="false">
      <c r="B27" s="87" t="s">
        <v>128</v>
      </c>
      <c r="C27" s="88" t="s">
        <v>129</v>
      </c>
      <c r="D27" s="67" t="s">
        <v>130</v>
      </c>
      <c r="E27" s="93"/>
      <c r="F27" s="69" t="s">
        <v>64</v>
      </c>
      <c r="G27" s="70" t="s">
        <v>77</v>
      </c>
      <c r="H27" s="142"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29" s="76"/>
      <c r="J29" s="76"/>
      <c r="K29" s="73"/>
    </row>
    <row r="30" customFormat="false" ht="25.35" hidden="false" customHeight="false" outlineLevel="0" collapsed="false">
      <c r="B30" s="87" t="s">
        <v>136</v>
      </c>
      <c r="C30" s="88" t="s">
        <v>137</v>
      </c>
      <c r="D30" s="92" t="s">
        <v>138</v>
      </c>
      <c r="E30" s="68" t="s">
        <v>64</v>
      </c>
      <c r="F30" s="69" t="s">
        <v>64</v>
      </c>
      <c r="G30" s="70"/>
      <c r="H30" s="89" t="str">
        <f aca="false">HYPERLINK(CONCATENATE(BASE_URL,"0x06e-Testing-Cryptography.md#verifying-the-configuration-of-cryptographic-standard-algorithms-mstg-crypto-2-and-mstg-crypto-3"),"Тестирование конфигурации криптографических стандартных алгоритмов (MSTG-CRYPTO-2 and MSTG-CRYPTO-3)")</f>
        <v>Тестирование конфигурации криптографических стандартных алгоритмов (MSTG-CRYPTO-2 and MSTG-CRYPTO-3)</v>
      </c>
      <c r="I30" s="76"/>
      <c r="J30" s="76"/>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HYPERLINK(CONCATENATE(BASE_URL,"0x06e-Testing-Cryptography.md#verifying-the-configuration-of-cryptographic-standard-algorithms-mstg-crypto-2-and-mstg-crypto-3"),"Тестирование конфигурации криптографических стандартных алгоритмов (MSTG-CRYPTO-2 and MSTG-CRYPTO-3)")</f>
        <v>Тестирование конфигурации криптографических стандартных алгоритмов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76"/>
      <c r="J32" s="76"/>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43"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6"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I36" s="136" t="str">
        <f aca="false">HYPERLINK(CONCATENATE(BASE_URL,"0x04e-Testing-Authentication-and-Session-Management.md#testing-oauth-20-flows-mstg-auth-1-and-mstg-auth-3"),"Проверка потоков OAuth 2.0 (MSTG-AUTH-1 and MSTG-AUTH-3)")</f>
        <v>Проверка потоков OAuth 2.0 (MSTG-AUTH-1 and MSTG-AUTH-3)</v>
      </c>
      <c r="J36" s="144"/>
      <c r="K36" s="125"/>
    </row>
    <row r="37" customFormat="false" ht="24.85" hidden="false" customHeight="false" outlineLevel="0" collapsed="false">
      <c r="B37" s="87" t="s">
        <v>156</v>
      </c>
      <c r="C37" s="88" t="s">
        <v>157</v>
      </c>
      <c r="D37" s="96" t="s">
        <v>158</v>
      </c>
      <c r="E37" s="68" t="s">
        <v>64</v>
      </c>
      <c r="F37" s="69" t="s">
        <v>64</v>
      </c>
      <c r="G37" s="70"/>
      <c r="H37" s="14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4.85" hidden="false" customHeight="false" outlineLevel="0" collapsed="false">
      <c r="B38" s="87" t="s">
        <v>159</v>
      </c>
      <c r="C38" s="88" t="s">
        <v>160</v>
      </c>
      <c r="D38" s="96" t="s">
        <v>161</v>
      </c>
      <c r="E38" s="68" t="s">
        <v>64</v>
      </c>
      <c r="F38" s="69" t="s">
        <v>64</v>
      </c>
      <c r="G38" s="70"/>
      <c r="H38" s="13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136" t="str">
        <f aca="false">HYPERLINK(CONCATENATE(BASE_URL,"0x04e-Testing-Authentication-and-Session-Management.md#testing-oauth-20-flows-mstg-auth-1-and-mstg-auth-3"),"Проверка потоков OAuth 2.0 (MSTG-AUTH-1 and MSTG-AUTH-3)")</f>
        <v>Проверка потоков OAuth 2.0 (MSTG-AUTH-1 and MSTG-AUTH-3)</v>
      </c>
      <c r="J38" s="144"/>
      <c r="K38" s="125"/>
    </row>
    <row r="39" customFormat="false" ht="15" hidden="false" customHeight="false" outlineLevel="0" collapsed="false">
      <c r="B39" s="87" t="s">
        <v>162</v>
      </c>
      <c r="C39" s="88" t="s">
        <v>163</v>
      </c>
      <c r="D39" s="96" t="s">
        <v>164</v>
      </c>
      <c r="E39" s="68"/>
      <c r="F39" s="69"/>
      <c r="G39" s="70"/>
      <c r="H39" s="14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4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4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136" t="str">
        <f aca="false">HYPERLINK(CONCATENATE(BASE_URL,"0x04e-Testing-Authentication-and-Session-Management.md#dynamic-testing-mstg-auth-6"),"Динамическое тестирование (MSTG-AUTH-6)")</f>
        <v>Динамическое тестирование (MSTG-AUTH-6)</v>
      </c>
      <c r="J41" s="144"/>
      <c r="K41" s="125"/>
    </row>
    <row r="42" customFormat="false" ht="24.85" hidden="false" customHeight="false" outlineLevel="0" collapsed="false">
      <c r="B42" s="87" t="s">
        <v>171</v>
      </c>
      <c r="C42" s="88" t="s">
        <v>172</v>
      </c>
      <c r="D42" s="96" t="s">
        <v>173</v>
      </c>
      <c r="E42" s="68" t="s">
        <v>64</v>
      </c>
      <c r="F42" s="69" t="s">
        <v>64</v>
      </c>
      <c r="G42" s="70"/>
      <c r="H42" s="140" t="str">
        <f aca="false">HYPERLINK(CONCATENATE(BASE_URL,"0x04e-Testing-Authentication-and-Session-Management.md#testing-session-timeout-mstg-auth-7"),"Тестирование таймаута сессии (MSTG-AUTH-7)")</f>
        <v>Тестирование таймаута сессии (MSTG-AUTH-7)</v>
      </c>
      <c r="I42" s="97"/>
      <c r="J42" s="145"/>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HYPERLINK(CONCATENATE(BASE_URL,"0x06f-Testing-Local-Authentication.md#testing-local-authentication-mstg-auth-8-and-mstg-storage-11"),"Тестирование локальной аутентификации(MSTG-AUTH-8 and MSTG-STORAGE-11)")</f>
        <v>Тестирование локальной аутентификации(MSTG-AUTH-8 and MSTG-STORAGE-11)</v>
      </c>
      <c r="I43" s="90"/>
      <c r="J43" s="144"/>
      <c r="K43" s="125"/>
    </row>
    <row r="44" customFormat="false" ht="15" hidden="false" customHeight="false" outlineLevel="0" collapsed="false">
      <c r="B44" s="87" t="s">
        <v>177</v>
      </c>
      <c r="C44" s="88" t="s">
        <v>178</v>
      </c>
      <c r="D44" s="96" t="s">
        <v>179</v>
      </c>
      <c r="E44" s="93"/>
      <c r="F44" s="69" t="s">
        <v>64</v>
      </c>
      <c r="G44" s="70" t="s">
        <v>77</v>
      </c>
      <c r="H44" s="14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4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6"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89"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8" s="75"/>
      <c r="J48" s="75"/>
      <c r="K48" s="102"/>
    </row>
    <row r="49" customFormat="false" ht="24.85" hidden="false" customHeight="false" outlineLevel="0" collapsed="false">
      <c r="B49" s="87" t="s">
        <v>191</v>
      </c>
      <c r="C49" s="88" t="s">
        <v>192</v>
      </c>
      <c r="D49" s="96" t="s">
        <v>193</v>
      </c>
      <c r="E49" s="68" t="s">
        <v>64</v>
      </c>
      <c r="F49" s="69" t="s">
        <v>64</v>
      </c>
      <c r="G49" s="70"/>
      <c r="H49" s="89" t="str">
        <f aca="false">HYPERLINK(CONCATENATE(BASE_URL,"0x04f-Testing-Network-Communication.md#verifying-data-encryption-on-the-network-mstg-network-1-and-mstg-network-2"),"Verifying Data Encryption on the Network (MSTG-NETWORK-1 and MSTG-NETWORK-2)")</f>
        <v>Verifying Data Encryption on the Network (MSTG-NETWORK-1 and MSTG-NETWORK-2)</v>
      </c>
      <c r="I49" s="75" t="str">
        <f aca="false">HYPERLINK(CONCATENATE(BASE_URL,"0x06g-Testing-Network-Communication.md#app-transport-security-mstg-network-2"),"App Transport Security (MSTG-NETWORK-2)")</f>
        <v>App Transport Security (MSTG-NETWORK-2)</v>
      </c>
      <c r="J49" s="75"/>
      <c r="K49" s="102"/>
    </row>
    <row r="50" customFormat="false" ht="24.85" hidden="false" customHeight="false" outlineLevel="0" collapsed="false">
      <c r="B50" s="87" t="s">
        <v>194</v>
      </c>
      <c r="C50" s="88" t="s">
        <v>195</v>
      </c>
      <c r="D50" s="96" t="s">
        <v>196</v>
      </c>
      <c r="E50" s="68" t="s">
        <v>64</v>
      </c>
      <c r="F50" s="69" t="s">
        <v>64</v>
      </c>
      <c r="G50" s="70"/>
      <c r="H50"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0" s="76"/>
      <c r="J50" s="76"/>
      <c r="K50" s="102"/>
    </row>
    <row r="51" customFormat="false" ht="24.85" hidden="false" customHeight="false" outlineLevel="0" collapsed="false">
      <c r="B51" s="87" t="s">
        <v>197</v>
      </c>
      <c r="C51" s="88" t="s">
        <v>198</v>
      </c>
      <c r="D51" s="96" t="s">
        <v>199</v>
      </c>
      <c r="E51" s="93"/>
      <c r="F51" s="69" t="s">
        <v>64</v>
      </c>
      <c r="G51" s="70" t="s">
        <v>77</v>
      </c>
      <c r="H51" s="90" t="str">
        <f aca="false">HYPERLINK(CONCATENATE(BASE_URL,"0x06g-Testing-Network-Communication.md#testing-custom-certificate-stores-and-certificate-pinning-mstg-network-3-and-mstg-network-4"),"Testing Custom Certificate Stores and Certificate Pinning (MSTG-NETWORK-3 and MSTG-NETWORK-4)")</f>
        <v>Testing Custom Certificate Stores and Certificate Pinning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89" t="str">
        <f aca="false">HYPERLINK(CONCATENATE(BASE_URL,"0x04f-Testing-Network-Communication.md#making-sure-that-critical-operations-use-secure-communication-channels-mstg-network-5"),"Making Sure that Critical Operations Use Secure Communication Channels (MSTG-NETWORK-5)")</f>
        <v>Making Sure that Critical Operations Use Secure Communication Channels (MSTG-NETWORK-5)</v>
      </c>
      <c r="I52" s="76"/>
      <c r="J52" s="76"/>
      <c r="K52" s="73"/>
    </row>
    <row r="53" customFormat="false" ht="24.85" hidden="false" customHeight="false" outlineLevel="0" collapsed="false">
      <c r="B53" s="87" t="s">
        <v>203</v>
      </c>
      <c r="C53" s="88" t="s">
        <v>204</v>
      </c>
      <c r="D53" s="96" t="s">
        <v>205</v>
      </c>
      <c r="E53" s="93"/>
      <c r="F53" s="69" t="s">
        <v>64</v>
      </c>
      <c r="G53" s="70" t="s">
        <v>77</v>
      </c>
      <c r="H53" s="90" t="str">
        <f aca="false">HYPERLINK(CONCATENATE( BASE_URL, "0x06i-Testing-Code-Quality-and-Build-Settings.md#checking-for-weaknesses-in-third-party-libraries-mstg-code-5"), "Checking for Weaknesses in Third Party Libraries (MSTG-CODE-5)")</f>
        <v>Checking for Weaknesses in Third Party Libraries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HYPERLINK(CONCATENATE(BASE_URL,"0x06h-Testing-Platform-Interaction.md#testing-app-permissions-mstg-platform-1"),"Testing App Permissions (MSTG-PLATFORM-1)")</f>
        <v>Testing App Permissions (MSTG-PLATFORM-1)</v>
      </c>
      <c r="I55" s="76"/>
      <c r="J55" s="76"/>
      <c r="K55" s="73"/>
    </row>
    <row r="56" customFormat="false" ht="35.8" hidden="false" customHeight="false" outlineLevel="0" collapsed="false">
      <c r="B56" s="87" t="s">
        <v>211</v>
      </c>
      <c r="C56" s="88" t="s">
        <v>212</v>
      </c>
      <c r="D56" s="96" t="s">
        <v>213</v>
      </c>
      <c r="E56" s="68" t="s">
        <v>64</v>
      </c>
      <c r="F56" s="69" t="s">
        <v>64</v>
      </c>
      <c r="G56" s="70"/>
      <c r="H56" s="90" t="str">
        <f aca="false">HYPERLINK(CONCATENATE(BASE_URL,"0x04h-Testing-Code-Quality.md#injection-flaws-mstg-arch-2-and-mstg-platform-2"),"Injection Flaws (MSTG-ARCH-2 and MSTG-PLATFORM-2)")</f>
        <v>Injection Flaws (MSTG-ARCH-2 and MSTG-PLATFORM-2)</v>
      </c>
      <c r="I56" s="76"/>
      <c r="J56" s="76"/>
      <c r="K56" s="73"/>
    </row>
    <row r="57" customFormat="false" ht="24.85" hidden="false" customHeight="false" outlineLevel="0" collapsed="false">
      <c r="B57" s="87" t="s">
        <v>214</v>
      </c>
      <c r="C57" s="88" t="s">
        <v>215</v>
      </c>
      <c r="D57" s="92" t="s">
        <v>216</v>
      </c>
      <c r="E57" s="68" t="s">
        <v>64</v>
      </c>
      <c r="F57" s="69" t="s">
        <v>64</v>
      </c>
      <c r="G57" s="70"/>
      <c r="H57" s="90" t="str">
        <f aca="false">HYPERLINK(CONCATENATE(BASE_URL,"0x06h-Testing-Platform-Interaction.md#testing-custom-url-schemes-mstg-platform-3"),"Testing Custom URL Schemes (MSTG-PLATFORM-3)")</f>
        <v>Testing Custom URL Schemes (MSTG-PLATFORM-3)</v>
      </c>
      <c r="I57" s="76"/>
      <c r="J57" s="76"/>
      <c r="K57" s="73"/>
    </row>
    <row r="58" customFormat="false" ht="15" hidden="false" customHeight="false" outlineLevel="0" collapsed="false">
      <c r="B58" s="87" t="s">
        <v>217</v>
      </c>
      <c r="C58" s="88" t="s">
        <v>218</v>
      </c>
      <c r="D58" s="92" t="s">
        <v>219</v>
      </c>
      <c r="E58" s="68" t="s">
        <v>64</v>
      </c>
      <c r="F58" s="69" t="s">
        <v>64</v>
      </c>
      <c r="G58" s="70"/>
      <c r="H58" s="71" t="str">
        <f aca="false">HYPERLINK(CONCATENATE( BASE_URL, "0x06h-Testing-Platform-Interaction.md#testing-for-sensitive-functionality-exposure-through-ipc-mstg-platform-4"), "Testing for Sensitive Functionality Exposure Through IPC (MSTG-PLATFORM-4)")</f>
        <v>Testing for Sensitive Functionality Exposure Through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HYPERLINK(CONCATENATE(BASE_URL,"0x06h-Testing-Platform-Interaction.md#testing-ios-webviews-mstg-platform-5"),"Testing iOS WebViews (MSTG-PLATFORM-5)")</f>
        <v>Testing iOS WebViews (MSTG-PLATFORM-5)</v>
      </c>
      <c r="I59" s="76"/>
      <c r="J59" s="76"/>
      <c r="K59" s="73"/>
    </row>
    <row r="60" customFormat="false" ht="24.85" hidden="false" customHeight="false" outlineLevel="0" collapsed="false">
      <c r="B60" s="87" t="s">
        <v>223</v>
      </c>
      <c r="C60" s="88" t="s">
        <v>224</v>
      </c>
      <c r="D60" s="96" t="s">
        <v>225</v>
      </c>
      <c r="E60" s="68" t="s">
        <v>64</v>
      </c>
      <c r="F60" s="69" t="s">
        <v>64</v>
      </c>
      <c r="G60" s="70"/>
      <c r="H60" s="90" t="str">
        <f aca="false">HYPERLINK(CONCATENATE(BASE_URL,"0x06h-Testing-Platform-Interaction.md#testing-webview-protocol-handlers-mstg-platform-6"),"Testing WebView Protocol Handlers (MSTG-PLATFORM-6)")</f>
        <v>Testing WebView Protocol Handlers (MSTG-PLATFORM-6)</v>
      </c>
      <c r="I60" s="76"/>
      <c r="J60" s="76"/>
      <c r="K60" s="73"/>
    </row>
    <row r="61" customFormat="false" ht="24.85" hidden="false" customHeight="false" outlineLevel="0" collapsed="false">
      <c r="B61" s="87" t="s">
        <v>226</v>
      </c>
      <c r="C61" s="88" t="s">
        <v>227</v>
      </c>
      <c r="D61" s="96" t="s">
        <v>228</v>
      </c>
      <c r="E61" s="68" t="s">
        <v>64</v>
      </c>
      <c r="F61" s="69" t="s">
        <v>64</v>
      </c>
      <c r="G61" s="70"/>
      <c r="H61" s="90" t="str">
        <f aca="false">HYPERLINK(CONCATENATE(BASE_URL,"0x06h-Testing-Platform-Interaction.md#determining-whether-native-methods-are-exposed-through-webviews-mstg-platform-7"),"Determining Whether Native Methods Are Exposed Through WebViews (MSTG-PLATFORM-7)")</f>
        <v>Determining Whether Native Methods Are Exposed Through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HYPERLINK(CONCATENATE(BASE_URL,"0x06h-Testing-Platform-Interaction.md#testing-object-persistence-mstg-platform-8"),"Testing Object Persistence (MSTG-PLATFORM-8)")</f>
        <v>Testing Object Persistence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90"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90"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47"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90"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8"/>
      <c r="K73" s="149"/>
    </row>
    <row r="74" customFormat="false" ht="15.6" hidden="false" customHeight="false" outlineLevel="0" collapsed="false">
      <c r="B74" s="150"/>
      <c r="C74" s="150"/>
      <c r="D74" s="92"/>
      <c r="E74" s="114"/>
      <c r="F74" s="114"/>
      <c r="G74" s="114"/>
      <c r="H74" s="114"/>
      <c r="I74" s="114"/>
      <c r="J74" s="114"/>
      <c r="K74" s="92"/>
    </row>
    <row r="75" customFormat="false" ht="15.6" hidden="false" customHeight="false" outlineLevel="0" collapsed="false">
      <c r="B75" s="150"/>
      <c r="C75" s="150"/>
      <c r="D75" s="92"/>
      <c r="E75" s="114"/>
      <c r="F75" s="114"/>
      <c r="G75" s="114"/>
      <c r="H75" s="114"/>
      <c r="I75" s="114"/>
      <c r="J75" s="114"/>
      <c r="K75" s="92"/>
    </row>
    <row r="76" customFormat="false" ht="15.6" hidden="false" customHeight="false" outlineLevel="0" collapsed="false">
      <c r="B76" s="150"/>
      <c r="C76" s="150"/>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50"/>
      <c r="C82" s="150"/>
      <c r="D82" s="92"/>
      <c r="E82" s="114"/>
      <c r="F82" s="114"/>
      <c r="G82" s="114"/>
      <c r="H82" s="114"/>
      <c r="I82" s="114"/>
      <c r="J82" s="114"/>
      <c r="K82" s="92"/>
    </row>
    <row r="83" customFormat="false" ht="15.6" hidden="false" customHeight="false" outlineLevel="0" collapsed="false">
      <c r="B83" s="150"/>
      <c r="C83" s="150"/>
      <c r="D83" s="92"/>
      <c r="E83" s="114"/>
      <c r="F83" s="114"/>
      <c r="G83" s="114"/>
      <c r="H83" s="114"/>
      <c r="I83" s="114"/>
      <c r="J83" s="114"/>
      <c r="K83" s="92"/>
    </row>
    <row r="84" customFormat="false" ht="15.6" hidden="false" customHeight="false" outlineLevel="0" collapsed="false">
      <c r="B84" s="150"/>
      <c r="C84" s="150"/>
      <c r="D84" s="92"/>
      <c r="E84" s="114"/>
      <c r="F84" s="114"/>
      <c r="G84" s="114"/>
      <c r="H84" s="114"/>
      <c r="I84" s="114"/>
      <c r="J84" s="114"/>
      <c r="K84" s="92"/>
    </row>
    <row r="85" customFormat="false" ht="15.6" hidden="false" customHeight="false" outlineLevel="0" collapsed="false">
      <c r="B85" s="150"/>
      <c r="C85" s="150"/>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47:H1048576 H1:H2 H4 H13 H15:H18 H43 H28:H35 H40:H41">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314</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315</v>
      </c>
      <c r="G3" s="121" t="s">
        <v>316</v>
      </c>
      <c r="H3" s="58" t="s">
        <v>317</v>
      </c>
    </row>
    <row r="4" customFormat="false" ht="15" hidden="false" customHeight="false" outlineLevel="0" collapsed="false">
      <c r="B4" s="79"/>
      <c r="C4" s="80"/>
      <c r="D4" s="81" t="s">
        <v>272</v>
      </c>
      <c r="E4" s="82"/>
      <c r="F4" s="82"/>
      <c r="G4" s="122"/>
      <c r="H4" s="86"/>
    </row>
    <row r="5" customFormat="false" ht="24.85" hidden="false" customHeight="false" outlineLevel="0" collapsed="false">
      <c r="B5" s="65" t="s">
        <v>273</v>
      </c>
      <c r="C5" s="66" t="s">
        <v>274</v>
      </c>
      <c r="D5" s="96" t="s">
        <v>275</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276</v>
      </c>
      <c r="C6" s="66" t="s">
        <v>277</v>
      </c>
      <c r="D6" s="96" t="s">
        <v>278</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279</v>
      </c>
      <c r="C7" s="66" t="s">
        <v>280</v>
      </c>
      <c r="D7" s="92" t="s">
        <v>281</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282</v>
      </c>
      <c r="C8" s="66" t="s">
        <v>283</v>
      </c>
      <c r="D8" s="92" t="s">
        <v>284</v>
      </c>
      <c r="E8" s="123" t="s">
        <v>64</v>
      </c>
      <c r="F8" s="70" t="s">
        <v>77</v>
      </c>
      <c r="G8" s="151" t="s">
        <v>298</v>
      </c>
      <c r="H8" s="125"/>
    </row>
    <row r="9" customFormat="false" ht="15" hidden="false" customHeight="false" outlineLevel="0" collapsed="false">
      <c r="B9" s="65" t="s">
        <v>285</v>
      </c>
      <c r="C9" s="66" t="s">
        <v>286</v>
      </c>
      <c r="D9" s="92" t="s">
        <v>287</v>
      </c>
      <c r="E9" s="123" t="s">
        <v>64</v>
      </c>
      <c r="F9" s="70" t="s">
        <v>77</v>
      </c>
      <c r="G9" s="151" t="s">
        <v>298</v>
      </c>
      <c r="H9" s="125"/>
    </row>
    <row r="10" customFormat="false" ht="15" hidden="false" customHeight="false" outlineLevel="0" collapsed="false">
      <c r="B10" s="65" t="s">
        <v>288</v>
      </c>
      <c r="C10" s="66" t="s">
        <v>289</v>
      </c>
      <c r="D10" s="92" t="s">
        <v>290</v>
      </c>
      <c r="E10" s="123" t="s">
        <v>64</v>
      </c>
      <c r="F10" s="70" t="s">
        <v>77</v>
      </c>
      <c r="G10" s="151" t="s">
        <v>298</v>
      </c>
      <c r="H10" s="125"/>
    </row>
    <row r="11" customFormat="false" ht="24.85" hidden="false" customHeight="false" outlineLevel="0" collapsed="false">
      <c r="B11" s="65" t="s">
        <v>291</v>
      </c>
      <c r="C11" s="66" t="s">
        <v>292</v>
      </c>
      <c r="D11" s="96" t="s">
        <v>293</v>
      </c>
      <c r="E11" s="123" t="s">
        <v>64</v>
      </c>
      <c r="F11" s="70" t="s">
        <v>77</v>
      </c>
      <c r="G11" s="128" t="s">
        <v>298</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4.85" hidden="false" customHeight="false" outlineLevel="0" collapsed="false">
      <c r="B13" s="65" t="s">
        <v>299</v>
      </c>
      <c r="C13" s="66" t="s">
        <v>300</v>
      </c>
      <c r="D13" s="92" t="s">
        <v>301</v>
      </c>
      <c r="E13" s="123" t="s">
        <v>64</v>
      </c>
      <c r="F13" s="70" t="s">
        <v>77</v>
      </c>
      <c r="G13" s="151" t="s">
        <v>298</v>
      </c>
      <c r="H13" s="125"/>
    </row>
    <row r="14" customFormat="false" ht="15" hidden="false" customHeight="false" outlineLevel="0" collapsed="false">
      <c r="B14" s="79"/>
      <c r="C14" s="80"/>
      <c r="D14" s="81" t="s">
        <v>302</v>
      </c>
      <c r="E14" s="82"/>
      <c r="F14" s="82"/>
      <c r="G14" s="122"/>
      <c r="H14" s="86"/>
    </row>
    <row r="15" customFormat="false" ht="24.85" hidden="false" customHeight="false" outlineLevel="0" collapsed="false">
      <c r="B15" s="65" t="s">
        <v>303</v>
      </c>
      <c r="C15" s="66" t="s">
        <v>304</v>
      </c>
      <c r="D15" s="96" t="s">
        <v>305</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306</v>
      </c>
      <c r="E16" s="82"/>
      <c r="F16" s="82"/>
      <c r="G16" s="122"/>
      <c r="H16" s="86"/>
    </row>
    <row r="17" customFormat="false" ht="35.8" hidden="false" customHeight="false" outlineLevel="0" collapsed="false">
      <c r="B17" s="65" t="s">
        <v>307</v>
      </c>
      <c r="C17" s="66" t="s">
        <v>308</v>
      </c>
      <c r="D17" s="96" t="s">
        <v>309</v>
      </c>
      <c r="E17" s="123" t="s">
        <v>64</v>
      </c>
      <c r="F17" s="70" t="s">
        <v>77</v>
      </c>
      <c r="G17" s="152"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310</v>
      </c>
      <c r="C18" s="66" t="s">
        <v>311</v>
      </c>
      <c r="D18" s="96" t="s">
        <v>312</v>
      </c>
      <c r="E18" s="123" t="s">
        <v>64</v>
      </c>
      <c r="F18" s="70" t="s">
        <v>77</v>
      </c>
      <c r="G18" s="128" t="s">
        <v>298</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50"/>
      <c r="C20" s="150"/>
      <c r="D20" s="92"/>
      <c r="E20" s="114"/>
      <c r="F20" s="114"/>
      <c r="G20" s="114"/>
      <c r="H20" s="92"/>
    </row>
    <row r="21" customFormat="false" ht="15.6" hidden="false" customHeight="false" outlineLevel="0" collapsed="false">
      <c r="B21" s="150"/>
      <c r="C21" s="150"/>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50"/>
      <c r="C27" s="150"/>
      <c r="D27" s="92"/>
      <c r="E27" s="114"/>
      <c r="F27" s="114"/>
      <c r="G27" s="114"/>
      <c r="H27" s="92"/>
    </row>
    <row r="28" customFormat="false" ht="15.6" hidden="false" customHeight="false" outlineLevel="0" collapsed="false">
      <c r="B28" s="150"/>
      <c r="C28" s="150"/>
      <c r="D28" s="92"/>
      <c r="E28" s="114"/>
      <c r="F28" s="114"/>
      <c r="G28" s="114"/>
      <c r="H28" s="92"/>
    </row>
    <row r="29" customFormat="false" ht="15.6" hidden="false" customHeight="false" outlineLevel="0" collapsed="false">
      <c r="B29" s="150"/>
      <c r="C29" s="150"/>
      <c r="D29" s="92"/>
      <c r="E29" s="114"/>
      <c r="F29" s="114"/>
      <c r="G29" s="114"/>
      <c r="H29" s="92"/>
    </row>
    <row r="30" customFormat="false" ht="15.6" hidden="false" customHeight="false" outlineLevel="0" collapsed="false">
      <c r="B30" s="150"/>
      <c r="C30" s="150"/>
      <c r="D30" s="92"/>
      <c r="E30" s="114"/>
      <c r="F30" s="114"/>
    </row>
    <row r="31" customFormat="false" ht="15.6" hidden="false" customHeight="false" outlineLevel="0" collapsed="false">
      <c r="B31" s="150"/>
      <c r="C31" s="150"/>
      <c r="D31" s="92"/>
      <c r="E31" s="114"/>
      <c r="F31" s="114"/>
    </row>
    <row r="32" customFormat="false" ht="15.6" hidden="false" customHeight="false" outlineLevel="0" collapsed="false">
      <c r="B32" s="150"/>
      <c r="C32" s="150"/>
      <c r="D32" s="92"/>
      <c r="E32" s="114"/>
      <c r="F32" s="114"/>
    </row>
  </sheetData>
  <conditionalFormatting sqref="G8">
    <cfRule type="containsText" priority="2" operator="containsText" aboveAverage="0" equalAverage="0" bottom="0" percent="0" rank="0" text="0x05" dxfId="5">
      <formula>NOT(ISERROR(SEARCH("0x05",G8)))</formula>
    </cfRule>
  </conditionalFormatting>
  <conditionalFormatting sqref="G9">
    <cfRule type="containsText" priority="3" operator="containsText" aboveAverage="0" equalAverage="0" bottom="0" percent="0" rank="0" text="0x05" dxfId="6">
      <formula>NOT(ISERROR(SEARCH("0x05",G9)))</formula>
    </cfRule>
  </conditionalFormatting>
  <conditionalFormatting sqref="G10">
    <cfRule type="containsText" priority="4" operator="containsText" aboveAverage="0" equalAverage="0" bottom="0" percent="0" rank="0" text="0x05" dxfId="7">
      <formula>NOT(ISERROR(SEARCH("0x05",G10)))</formula>
    </cfRule>
  </conditionalFormatting>
  <conditionalFormatting sqref="G11">
    <cfRule type="containsText" priority="5" operator="containsText" aboveAverage="0" equalAverage="0" bottom="0" percent="0" rank="0" text="0x05" dxfId="8">
      <formula>NOT(ISERROR(SEARCH("0x05",G11)))</formula>
    </cfRule>
  </conditionalFormatting>
  <conditionalFormatting sqref="G12">
    <cfRule type="containsText" priority="6" operator="containsText" aboveAverage="0" equalAverage="0" bottom="0" percent="0" rank="0" text="0x05" dxfId="9">
      <formula>NOT(ISERROR(SEARCH("0x05",G12)))</formula>
    </cfRule>
  </conditionalFormatting>
  <conditionalFormatting sqref="G13">
    <cfRule type="containsText" priority="7" operator="containsText" aboveAverage="0" equalAverage="0" bottom="0" percent="0" rank="0" text="0x05" dxfId="10">
      <formula>NOT(ISERROR(SEARCH("0x05",G13)))</formula>
    </cfRule>
  </conditionalFormatting>
  <conditionalFormatting sqref="G17">
    <cfRule type="containsText" priority="8" operator="containsText" aboveAverage="0" equalAverage="0" bottom="0" percent="0" rank="0" text="0x05" dxfId="11">
      <formula>NOT(ISERROR(SEARCH("0x05",G17)))</formula>
    </cfRule>
  </conditionalFormatting>
  <conditionalFormatting sqref="G18">
    <cfRule type="containsText" priority="9" operator="containsText" aboveAverage="0" equalAverage="0" bottom="0" percent="0" rank="0" text="0x05" dxfId="12">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75" zoomScaleNormal="75"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53" t="s">
        <v>318</v>
      </c>
      <c r="B1" s="153"/>
      <c r="C1" s="154"/>
      <c r="D1" s="52"/>
      <c r="E1" s="52"/>
    </row>
    <row r="2" customFormat="false" ht="15.6" hidden="false" customHeight="false" outlineLevel="0" collapsed="false">
      <c r="A2" s="155" t="s">
        <v>319</v>
      </c>
      <c r="B2" s="155" t="s">
        <v>320</v>
      </c>
      <c r="C2" s="155" t="s">
        <v>321</v>
      </c>
      <c r="D2" s="155" t="s">
        <v>322</v>
      </c>
      <c r="E2" s="155" t="s">
        <v>317</v>
      </c>
    </row>
    <row r="3" customFormat="false" ht="15.6" hidden="false" customHeight="false" outlineLevel="0" collapsed="false">
      <c r="A3" s="156" t="s">
        <v>323</v>
      </c>
      <c r="B3" s="157" t="n">
        <v>0.1</v>
      </c>
      <c r="C3" s="157"/>
      <c r="D3" s="158" t="n">
        <v>42765</v>
      </c>
      <c r="E3" s="159" t="s">
        <v>324</v>
      </c>
    </row>
    <row r="4" customFormat="false" ht="15.6" hidden="false" customHeight="false" outlineLevel="0" collapsed="false">
      <c r="A4" s="159" t="s">
        <v>325</v>
      </c>
      <c r="B4" s="157" t="n">
        <v>0.2</v>
      </c>
      <c r="C4" s="157"/>
      <c r="D4" s="158" t="n">
        <v>42766</v>
      </c>
      <c r="E4" s="159" t="s">
        <v>326</v>
      </c>
    </row>
    <row r="5" customFormat="false" ht="15.6" hidden="false" customHeight="false" outlineLevel="0" collapsed="false">
      <c r="A5" s="159" t="s">
        <v>327</v>
      </c>
      <c r="B5" s="157" t="n">
        <v>0.3</v>
      </c>
      <c r="C5" s="157"/>
      <c r="D5" s="158" t="n">
        <v>42778</v>
      </c>
      <c r="E5" s="159" t="s">
        <v>328</v>
      </c>
    </row>
    <row r="6" customFormat="false" ht="15.6" hidden="false" customHeight="false" outlineLevel="0" collapsed="false">
      <c r="A6" s="159" t="s">
        <v>329</v>
      </c>
      <c r="B6" s="157" t="s">
        <v>330</v>
      </c>
      <c r="C6" s="157"/>
      <c r="D6" s="158" t="n">
        <v>42780</v>
      </c>
      <c r="E6" s="159" t="s">
        <v>331</v>
      </c>
    </row>
    <row r="7" customFormat="false" ht="15.6" hidden="false" customHeight="false" outlineLevel="0" collapsed="false">
      <c r="A7" s="159" t="s">
        <v>325</v>
      </c>
      <c r="B7" s="160" t="s">
        <v>332</v>
      </c>
      <c r="C7" s="160"/>
      <c r="D7" s="158" t="n">
        <v>42781</v>
      </c>
      <c r="E7" s="159" t="s">
        <v>333</v>
      </c>
    </row>
    <row r="8" customFormat="false" ht="15.6" hidden="false" customHeight="false" outlineLevel="0" collapsed="false">
      <c r="A8" s="159" t="s">
        <v>329</v>
      </c>
      <c r="B8" s="160" t="s">
        <v>334</v>
      </c>
      <c r="C8" s="160"/>
      <c r="D8" s="158" t="n">
        <v>42829</v>
      </c>
      <c r="E8" s="159" t="s">
        <v>335</v>
      </c>
    </row>
    <row r="9" customFormat="false" ht="15.6" hidden="false" customHeight="false" outlineLevel="0" collapsed="false">
      <c r="A9" s="159" t="s">
        <v>325</v>
      </c>
      <c r="B9" s="160" t="s">
        <v>334</v>
      </c>
      <c r="C9" s="160"/>
      <c r="D9" s="158" t="n">
        <v>42919</v>
      </c>
      <c r="E9" s="159" t="s">
        <v>336</v>
      </c>
    </row>
    <row r="10" customFormat="false" ht="15.6" hidden="false" customHeight="false" outlineLevel="0" collapsed="false">
      <c r="A10" s="159" t="s">
        <v>325</v>
      </c>
      <c r="B10" s="160" t="s">
        <v>337</v>
      </c>
      <c r="C10" s="160"/>
      <c r="D10" s="158" t="n">
        <v>42963</v>
      </c>
      <c r="E10" s="159" t="s">
        <v>338</v>
      </c>
    </row>
    <row r="11" customFormat="false" ht="15.6" hidden="false" customHeight="false" outlineLevel="0" collapsed="false">
      <c r="A11" s="159" t="s">
        <v>325</v>
      </c>
      <c r="B11" s="160" t="s">
        <v>339</v>
      </c>
      <c r="C11" s="160"/>
      <c r="D11" s="158" t="n">
        <v>43113</v>
      </c>
      <c r="E11" s="159" t="s">
        <v>340</v>
      </c>
    </row>
    <row r="12" customFormat="false" ht="15.6" hidden="false" customHeight="false" outlineLevel="0" collapsed="false">
      <c r="A12" s="159" t="s">
        <v>325</v>
      </c>
      <c r="B12" s="160" t="n">
        <v>1.1</v>
      </c>
      <c r="C12" s="160"/>
      <c r="D12" s="158" t="n">
        <v>43289</v>
      </c>
      <c r="E12" s="159" t="s">
        <v>341</v>
      </c>
    </row>
    <row r="13" customFormat="false" ht="15.6" hidden="false" customHeight="false" outlineLevel="0" collapsed="false">
      <c r="A13" s="159" t="s">
        <v>342</v>
      </c>
      <c r="B13" s="161" t="s">
        <v>343</v>
      </c>
      <c r="C13" s="162"/>
      <c r="D13" s="158" t="n">
        <v>43464</v>
      </c>
      <c r="E13" s="163" t="s">
        <v>344</v>
      </c>
    </row>
    <row r="14" customFormat="false" ht="15.6" hidden="false" customHeight="false" outlineLevel="0" collapsed="false">
      <c r="A14" s="159" t="s">
        <v>345</v>
      </c>
      <c r="B14" s="161" t="s">
        <v>346</v>
      </c>
      <c r="C14" s="162"/>
      <c r="D14" s="158" t="n">
        <v>43469</v>
      </c>
      <c r="E14" s="163" t="s">
        <v>344</v>
      </c>
    </row>
    <row r="15" customFormat="false" ht="409.05" hidden="false" customHeight="true" outlineLevel="0" collapsed="false">
      <c r="A15" s="164" t="s">
        <v>347</v>
      </c>
      <c r="B15" s="160" t="s">
        <v>348</v>
      </c>
      <c r="C15" s="160" t="s">
        <v>349</v>
      </c>
      <c r="D15" s="158" t="n">
        <v>43471</v>
      </c>
      <c r="E15" s="165" t="s">
        <v>350</v>
      </c>
    </row>
    <row r="16" customFormat="false" ht="15.6" hidden="false" customHeight="false" outlineLevel="0" collapsed="false">
      <c r="A16" s="159" t="s">
        <v>342</v>
      </c>
      <c r="B16" s="161" t="s">
        <v>351</v>
      </c>
      <c r="C16" s="160" t="s">
        <v>349</v>
      </c>
      <c r="D16" s="166" t="n">
        <v>43475</v>
      </c>
      <c r="E16" s="163" t="s">
        <v>352</v>
      </c>
    </row>
    <row r="17" customFormat="false" ht="78" hidden="false" customHeight="false" outlineLevel="0" collapsed="false">
      <c r="A17" s="164" t="s">
        <v>347</v>
      </c>
      <c r="B17" s="161" t="s">
        <v>353</v>
      </c>
      <c r="C17" s="160" t="s">
        <v>349</v>
      </c>
      <c r="D17" s="158" t="n">
        <v>43476</v>
      </c>
      <c r="E17" s="164" t="s">
        <v>354</v>
      </c>
    </row>
    <row r="18" customFormat="false" ht="46.8" hidden="false" customHeight="false" outlineLevel="0" collapsed="false">
      <c r="A18" s="164" t="s">
        <v>347</v>
      </c>
      <c r="B18" s="161" t="s">
        <v>355</v>
      </c>
      <c r="C18" s="160" t="s">
        <v>349</v>
      </c>
      <c r="D18" s="158" t="n">
        <v>43478</v>
      </c>
      <c r="E18" s="164" t="s">
        <v>356</v>
      </c>
    </row>
    <row r="19" customFormat="false" ht="46.8" hidden="false" customHeight="false" outlineLevel="0" collapsed="false">
      <c r="A19" s="164" t="s">
        <v>347</v>
      </c>
      <c r="B19" s="161" t="s">
        <v>357</v>
      </c>
      <c r="C19" s="160" t="s">
        <v>349</v>
      </c>
      <c r="D19" s="158" t="n">
        <v>43478</v>
      </c>
      <c r="E19" s="164" t="s">
        <v>358</v>
      </c>
    </row>
    <row r="20" customFormat="false" ht="109.2" hidden="false" customHeight="false" outlineLevel="0" collapsed="false">
      <c r="A20" s="164" t="s">
        <v>342</v>
      </c>
      <c r="B20" s="161" t="s">
        <v>359</v>
      </c>
      <c r="C20" s="160" t="s">
        <v>3</v>
      </c>
      <c r="D20" s="158" t="n">
        <v>43641</v>
      </c>
      <c r="E20" s="165" t="s">
        <v>360</v>
      </c>
    </row>
    <row r="21" customFormat="false" ht="15.6" hidden="false" customHeight="false" outlineLevel="0" collapsed="false">
      <c r="A21" s="164" t="s">
        <v>342</v>
      </c>
      <c r="B21" s="161" t="s">
        <v>361</v>
      </c>
      <c r="C21" s="160" t="s">
        <v>3</v>
      </c>
      <c r="D21" s="158" t="n">
        <v>43642</v>
      </c>
      <c r="E21" s="164" t="s">
        <v>362</v>
      </c>
    </row>
    <row r="22" customFormat="false" ht="46.8" hidden="false" customHeight="false" outlineLevel="0" collapsed="false">
      <c r="A22" s="164" t="s">
        <v>342</v>
      </c>
      <c r="B22" s="161" t="s">
        <v>363</v>
      </c>
      <c r="C22" s="160" t="s">
        <v>3</v>
      </c>
      <c r="D22" s="158" t="n">
        <v>43649</v>
      </c>
      <c r="E22" s="164" t="s">
        <v>364</v>
      </c>
    </row>
    <row r="23" customFormat="false" ht="15.6" hidden="false" customHeight="false" outlineLevel="0" collapsed="false">
      <c r="A23" s="164" t="s">
        <v>342</v>
      </c>
      <c r="B23" s="161" t="s">
        <v>363</v>
      </c>
      <c r="C23" s="160" t="s">
        <v>3</v>
      </c>
      <c r="D23" s="158" t="n">
        <v>43672</v>
      </c>
      <c r="E23" s="164" t="s">
        <v>365</v>
      </c>
    </row>
    <row r="24" customFormat="false" ht="15.6" hidden="false" customHeight="false" outlineLevel="0" collapsed="false">
      <c r="A24" s="164" t="s">
        <v>342</v>
      </c>
      <c r="B24" s="161" t="s">
        <v>363</v>
      </c>
      <c r="C24" s="160" t="s">
        <v>3</v>
      </c>
      <c r="D24" s="158" t="n">
        <v>43674</v>
      </c>
      <c r="E24" s="164" t="s">
        <v>366</v>
      </c>
    </row>
    <row r="25" customFormat="false" ht="37.8" hidden="false" customHeight="false" outlineLevel="0" collapsed="false">
      <c r="A25" s="164" t="s">
        <v>342</v>
      </c>
      <c r="B25" s="161" t="s">
        <v>367</v>
      </c>
      <c r="C25" s="160" t="s">
        <v>3</v>
      </c>
      <c r="D25" s="158" t="n">
        <v>43685</v>
      </c>
      <c r="E25" s="164" t="s">
        <v>368</v>
      </c>
    </row>
    <row r="26" customFormat="false" ht="37.3" hidden="false" customHeight="false" outlineLevel="0" collapsed="false">
      <c r="A26" s="164" t="s">
        <v>369</v>
      </c>
      <c r="B26" s="161" t="s">
        <v>367</v>
      </c>
      <c r="C26" s="160" t="s">
        <v>3</v>
      </c>
      <c r="D26" s="158" t="n">
        <v>43719</v>
      </c>
      <c r="E26" s="164"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172</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2020-04-27T15:54:13Z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