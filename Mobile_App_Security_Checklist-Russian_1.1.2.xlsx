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<sst xmlns="http://schemas.openxmlformats.org/spreadsheetml/2006/main" count="995" uniqueCount="371">
  <si>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</si>
  <si>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</si>
  <si>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</si>
  <si>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</si>
  <si>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</si>
  <si>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</si>
  <si>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</si>
  <si>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</si>
  <si>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</si>
  <si>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</si>
  <si>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</si>
  <si>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</si>
  <si>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</si>
  <si>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</si>
  <si>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</si>
  <si>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</si>
  <si>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</si>
  <si>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</si>
  <si>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</si>
  <si>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</si>
  <si>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</si>
  <si>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</si>
  <si>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</si>
  <si>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</si>
  <si>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</si>
  <si>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</si>
  <si>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</si>
  <si>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</si>
  <si>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</si>
  <si>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</si>
  <si>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</si>
  <si>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</si>
  <si>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</si>
  <si>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</si>
  <si>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</si>
  <si>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</si>
  <si>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</si>
  <si>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</si>
  <si>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</si>
  <si>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</si>
  <si>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</si>
  <si>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</si>
  <si>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</si>
  <si>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</si>
  <si>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</si>
  <si>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</si>
  <si>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</si>
  <si>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</si>
  <si>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</si>
  <si>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</si>
  <si>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</si>
  <si>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</si>
  <si>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</si>
  <si>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</si>
  <si>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</si>
  <si>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</si>
  <si>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</si>
  <si>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</si>
  <si>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</si>
  <si>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</si>
  <si>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</si>
  <si>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</si>
  <si>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</si>
  <si>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</si>
  <si>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</si>
  <si>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</si>
  <si>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</si>
  <si>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</si>
  <si>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</si>
  <si>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</si>
  <si>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</si>
  <si>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</si>
  <si>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</si>
  <si>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</si>
  <si>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</si>
  <si>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</si>
  <si>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</si>
  <si>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</si>
  <si>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</si>
  <si>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</si>
  <si>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</si>
  <si>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</si>
  <si>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</si>
  <si>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</si>
  <si>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</si>
  <si>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</si>
  <si>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</si>
  <si>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</si>
  <si>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</si>
  <si>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</si>
  <si>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</si>
  <si>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</si>
  <si>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</si>
  <si>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</si>
  <si>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</si>
  <si>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</si>
  <si>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</si>
  <si>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</si>
  <si>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</si>
  <si>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</si>
  <si>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</si>
  <si>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</si>
  <si>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</si>
  <si>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</si>
  <si>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</si>
  <si>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</si>
  <si>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</si>
  <si>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</si>
  <si>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</si>
  <si>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</si>
  <si>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</si>
  <si>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</si>
  <si>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</si>
  <si>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</si>
  <si>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</si>
  <si>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</si>
  <si>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</si>
  <si>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</si>
  <si>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</si>
  <si>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</si>
  <si>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</si>
  <si>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</si>
  <si>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</si>
  <si>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</si>
  <si>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</si>
  <si>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</si>
  <si>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</si>
  <si>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</si>
  <si>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</si>
  <si>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</si>
  <si>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</si>
  <si>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</si>
  <si>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</si>
  <si>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</si>
  <si>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</si>
  <si>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</si>
  <si>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</si>
  <si>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</si>
  <si>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</si>
  <si>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</si>
  <si>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</si>
  <si>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</si>
  <si>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</si>
  <si>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</si>
  <si>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</si>
  <si>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</si>
  <si>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</si>
  <si>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</si>
  <si>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</si>
  <si>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</si>
  <si>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</si>
  <si>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</si>
  <si>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</si>
  <si>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</si>
  <si>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</si>
  <si>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</si>
  <si>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</si>
  <si>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</si>
  <si>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</si>
  <si>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</si>
  <si>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</si>
  <si>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</si>
  <si>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</si>
  <si>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</si>
  <si>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</si>
  <si>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</si>
  <si>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</si>
  <si>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</si>
  <si>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</si>
  <si>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</si>
  <si>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</si>
  <si>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</si>
  <si>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</si>
  <si>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</si>
  <si>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</si>
  <si>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</si>
  <si>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</si>
  <si>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</si>
  <si>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</si>
  <si>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</si>
  <si>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</si>
  <si>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</si>
  <si>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</si>
  <si>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</si>
  <si>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</si>
  <si>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</si>
  <si>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</si>
  <si>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</si>
  <si>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</si>
  <si>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</si>
  <si>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</si>
  <si>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</si>
  <si>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</si>
  <si>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</si>
  <si>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</si>
  <si>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</si>
  <si>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</si>
  <si>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</si>
  <si>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</si>
  <si>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</si>
  <si>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</si>
  <si>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</si>
  <si>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</si>
  <si>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</si>
  <si>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</si>
  <si>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</si>
  <si>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</si>
  <si>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</si>
  <si>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</si>
  <si>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</si>
  <si>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</si>
  <si>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</si>
  <si>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</si>
  <si>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</si>
  <si>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</si>
  <si>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</si>
  <si>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</si>
  <si>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</si>
  <si>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</si>
  <si>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</si>
  <si>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</si>
  <si>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</si>
  <si>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</si>
  <si>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</si>
  <si>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</si>
  <si>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</si>
  <si>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</si>
  <si>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</si>
  <si>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</si>
  <si>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</si>
  <si>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</si>
  <si>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</si>
  <si>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</si>
  <si>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</si>
  <si>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</si>
  <si>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</si>
  <si>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</si>
  <si>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</si>
  <si>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</si>
  <si>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</si>
  <si>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</si>
  <si>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</si>
  <si>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</si>
  <si>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</si>
  <si>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</si>
  <si>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</si>
  <si>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</si>
  <si>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</si>
  <si>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</si>
  <si>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</si>
  <si>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</si>
  <si>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</si>
  <si>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</si>
  <si>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</si>
  <si>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</si>
  <si>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</si>
  <si>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</si>
  <si>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</si>
  <si>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</si>
  <si>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</si>
  <si>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</si>
  <si>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</si>
  <si>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</si>
  <si>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</si>
  <si>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</si>
  <si>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</si>
  <si>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</si>
  <si>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</si>
  <si>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</si>
  <si>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</si>
  <si>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</si>
  <si>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</si>
  <si>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Status</t>
  </si>
  <si>
    <t xml:space="preserve">Testing Procedure(s)</t>
  </si>
  <si>
    <t xml:space="preserve">Comment</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</si>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</sst>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8"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8"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4">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52591096"/>
        <c:axId val="82544757"/>
      </c:radarChart>
      <c:catAx>
        <c:axId val="52591096"/>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82544757"/>
        <c:crosses val="autoZero"/>
        <c:auto val="1"/>
        <c:lblAlgn val="ctr"/>
        <c:lblOffset val="100"/>
        <c:noMultiLvlLbl val="0"/>
      </c:catAx>
      <c:valAx>
        <c:axId val="82544757"/>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52591096"/>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15287082"/>
        <c:axId val="46074959"/>
      </c:radarChart>
      <c:catAx>
        <c:axId val="15287082"/>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46074959"/>
        <c:crosses val="autoZero"/>
        <c:auto val="1"/>
        <c:lblAlgn val="ctr"/>
        <c:lblOffset val="100"/>
        <c:noMultiLvlLbl val="0"/>
      </c:catAx>
      <c:valAx>
        <c:axId val="46074959"/>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15287082"/>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B1" colorId="64" zoomScale="75" zoomScaleNormal="75" zoomScalePageLayoutView="100" workbookViewId="0">
      <selection pane="topLeft" activeCell="H15" activeCellId="0" sqref="H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"Testing for insecure Configuration of Instant Apps (MSTG-ARCH-1, MSTG-ARCH-7)")</f>
        <v>Testing for insecure Configuration of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"Principles of Testing")</f>
        <v>Principles of Testing</v>
      </c>
      <c r="J11" s="78" t="str">
        <f aca="false">HYPERLINK(CONCATENATE( BASE_URL, "0x04b-Mobile-App-Security-Testing.md#penetration-testing-aka-pentesting"), "Penetration Testing (a.k.a. Pentesting)")</f>
        <v>Penetration Testing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6" s="90" t="str">
        <f aca="false">HYPERLINK(CONCATENATE(BASE_URL,"0x05e-Testing-Cryptography.md#testing-key-management-mstg-storage-1-mstg-crypto-1-and-mstg-crypto-5"),"Testing Key Management (MSTG-STORAGE-1, MSTG-CRYPTO-1 and MSTG-CRYPTO-5)")</f>
        <v>Testing Key Management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HYPERLINK(CONCATENATE(BASE_URL,"0x05d-Testing-Data-Storage.md#testing-local-storage-for-sensitive-data-mstg-storage-1-and-mstg-storage-2"),"Testing Local Storage for Sensitive Data (MSTG-STORAGE-1 and MSTG-STORAGE-2)")</f>
        <v>Testing Local Storage for Sensitive Data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HYPERLINK(CONCATENATE(BASE_URL,"0x05d-Testing-Data-Storage.md#testing-logs-for-sensitive-data-mstg-storage-3"),"Testing Logs for Sensitive Data (MSTG-STORAGE-3)")</f>
        <v>Testing Logs for Sensitive Data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HYPERLINK(CONCATENATE(BASE_URL,"0x05d-Testing-Data-Storage.md#determining-whether-the-keyboard-cache-is-disabled-for-text-input-fields-mstg-storage-5"),"Determining Whether the Keyboard Cache Is Disabled for Text Input Fields (MSTG-STORAGE-5)")</f>
        <v>Determining Whether the Keyboard Cache Is Disabled for Text Input Fields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HYPERLINK(CONCATENATE(BASE_URL,"0x05d-Testing-Data-Storage.md#determining-whether-sensitive-stored-data-has-been-exposed-via-ipc-mechanisms-mstg-storage-6"),"Determining Whether Sensitive Stored Data Has Been Exposed via IPC Mechanisms (MSTG-STORAGE-6)")</f>
        <v>Determining Whether Sensitive Stored Data Has Been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HYPERLINK(CONCATENATE(BASE_URL,"0x05d-Testing-Data-Storage.md#checking-for-sensitive-data-disclosure-through-the-user-interface-mstg-storage-7"),"Checking for Sensitive Data Disclosure Through the User Interface (MSTG-STORAGE-7)")</f>
        <v>Checking for Sensitive Data Disclosure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HYPERLINK(CONCATENATE(BASE_URL,"0x05d-Testing-Data-Storage.md#finding-sensitive-information-in-auto-generated-screenshots-mstg-storage-9"),"Finding Sensitive Information in Auto-Generated Screenshots (MSTG-STORAGE-9)")</f>
        <v>Finding Sensitive Information in Auto-Generated Screenshots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HYPERLINK(CONCATENATE(BASE_URL,"0x05d-Testing-Data-Storage.md#checking-memory-for-sensitive-data-mstg-storage-10"),"Checking Memory for Sensitive Data (MSTG-STORAGE-10)")</f>
        <v>Checking Memory for Sensitive Data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HYPERLINK(CONCATENATE(BASE_URL,"0x05d-Testing-Data-Storage.md#testing-the-device-access-security-policy-mstg-storage-11"),"Testing the Device-Access-Security Policy (MSTG-STORAGE-11)")</f>
        <v>Testing the Device-Access-Security Policy (MSTG-STORAGE-11)</v>
      </c>
      <c r="I26" s="75" t="str">
        <f aca="false">HYPERLINK(CONCATENATE(BASE_URL,"0x05f-Testing-Local-Authentication.md#testing-confirm-credentials-mstg-auth-1-and-mstg-storage-11"),"Testing Confirm Credentials (MSTG-AUTH-1 and MSTG-STORAGE-11)")</f>
        <v>Testing Confirm Credentials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HYPERLINK(CONCATENATE(BASE_URL,"0x04i-Testing-user-interaction.md#testing-user-education-mstg-storage-12"),"Testing User Education (MSTG-STORAGE-12)")</f>
        <v>Testing User Education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HYPERLINK(CONCATENATE(BASE_URL,"0x05e-Testing-Cryptography.md#testing-key-management-mstg-storage-1-mstg-crypto-1-and-mstg-crypto-5"),"Testing Key Management (MSTG-STORAGE-1, MSTG-CRYPTO-1 and MSTG-CRYPTO-5)")</f>
        <v>Testing Key Management (MSTG-STORAGE-1, MSTG-CRYPTO-1 and MSTG-CRYPTO-5)</v>
      </c>
      <c r="I29"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HYPERLINK(CONCATENATE(BASE_URL,"0x04g-Testing-Cryptography.md#common-configuration-issues-mstg-crypto-1-mstg-crypto-2-and-mstg-crypto-3"),"Common Configuration Issues (MSTG-CRYPTO-1, MSTG-CRYPTO-2 and MSTG-CRYPTO-3)")</f>
        <v>Common Configuration Issues (MSTG-CRYPTO-1, MSTG-CRYPTO-2 and MSTG-CRYPTO-3)</v>
      </c>
      <c r="I30"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0" s="72"/>
      <c r="K30" s="73"/>
    </row>
    <row r="31" customFormat="false" ht="23.8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I31" s="90" t="str">
        <f aca="false">HYPERLINK(CONCATENATE(BASE_URL,"0x04g-Testing-Cryptography.md#common-configuration-issues-mstg-crypto-1-mstg-crypto-2-and-mstg-crypto-3"),"Common Configuration Issues (MSTG-CRYPTO-1, MSTG-CRYPTO-2 and MSTG-CRYPTO-3)")</f>
        <v>Common Configuration Issues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89" t="str">
        <f aca="false">HYPERLINK(CONCATENATE(BASE_URL,"0x05e-Testing-Cryptography.md#testing-the-configuration-of-cryptographic-standard-algorithms-mstg-crypto-2-mstg-crypto-3-and-mstg-crypto-4"),"Testing the Configuration of Cryptographic Standard Algorithms (MSTG-CRYPTO-2, MSTG-CRYPTO-3 and MSTG-CRYPTO-4)")</f>
        <v>Testing the Configuration of Cryptographic Standard Algorithms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HYPERLINK(CONCATENATE(BASE_URL,"0x05e-Testing-Cryptography.md#testing-key-management-mstg-storage-1-mstg-crypto-1-and-mstg-crypto-5"),"Testing Key Management (MSTG-STORAGE-1, MSTG-CRYPTO-1 and MSTG-CRYPTO-5)")</f>
        <v>Testing Key Management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HYPERLINK(CONCATENATE(BASE_URL,"0x05e-Testing-Cryptography.md#testing-random-number-generation-mstg-crypto-6"),"Testing Random Number Generation (MSTG-CRYPTO-6)")</f>
        <v>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HYPERLINK(CONCATENATE(BASE_URL,"0x05f-Testing-Local-Authentication.md#testing-confirm-credentials-mstg-auth-1-and-mstg-storage-11"),"Testing Confirm Credentials (MSTG-AUTH-1 and MSTG-STORAGE-11)")</f>
        <v>Testing Confirm Credentials (MSTG-AUTH-1 and MSTG-STORAGE-11)</v>
      </c>
      <c r="I36" s="75"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36" s="75" t="str">
        <f aca="false">HYPERLINK(CONCATENATE(BASE_URL,"0x04e-Testing-Authentication-and-Session-Management.md#testing-oauth-20-flows-mstg-auth-1-and-mstg-auth-3"),"Testing OAuth 2.0 Flows (MSTG-AUTH-1 and MSTG-AUTH-3)")</f>
        <v>Testing OAuth 2.0 Flows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HYPERLINK(CONCATENATE(BASE_URL,"0x04e-Testing-Authentication-and-Session-Management.md#testing-stateless-token-based-authentication-mstg-auth-3"),"Testing Stateless (Token-Based) Authentication (MSTG-AUTH-3)")</f>
        <v>Testing Stateless (Token-Based) Authentication (MSTG-AUTH-3)</v>
      </c>
      <c r="I38" s="75" t="str">
        <f aca="false">HYPERLINK(CONCATENATE(BASE_URL,"0x04e-Testing-Authentication-and-Session-Management.md#testing-oauth-20-flows-mstg-auth-1-and-mstg-auth-3"),"Testing OAuth 2.0 Flows (MSTG-AUTH-1 and MSTG-AUTH-3)")</f>
        <v>Testing OAuth 2.0 Flows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75" t="str">
        <f aca="false">HYPERLINK(CONCATENATE(BASE_URL,"0x04e-Testing-Authentication-and-Session-Management.md#dynamic-testing-mstg-auth-6"),"Dynamic Testing (MSTG-AUTH-6)")</f>
        <v>Dynamic Testing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HYPERLINK(CONCATENATE(BASE_URL,"0x05f-Testing-Local-Authentication.md#testing-biometric-authentication-mstg-auth-8"),"Testing Biometric Authentication (MSTG-AUTH-8)")</f>
        <v>Testing Biometric Authentication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HYPERLINK(CONCATENATE(BASE_URL,"0x05g-Testing-Network-Communication.md#testing-endpoint-identify-verification-mstg-network-3"),"Testing Endpoint Identify Verification (MSTG-NETWORK-3)")</f>
        <v>Testing Endpoint Identify Verification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HYPERLINK(CONCATENATE(BASE_URL,"0x05g-Testing-Network-Communication.md#testing-custom-certificate-stores-and-certificate-pinning-mstg-network-4"),"Testing Custom Certificate Stores and Certificate Pinning (MSTG-NETWORK-4)")</f>
        <v>Testing Custom Certificate Stores and Certificate Pinning (MSTG-NETWORK-4)</v>
      </c>
      <c r="I51" s="90" t="str">
        <f aca="false">HYPERLINK(CONCATENATE(BASE_URL,"0x05g-Testing-Network-Communication.md#testing-the-network-security-configuration-settings-mstg-network-4"),"Testing the Network Security Configuration Settings (MSTG-NETWORK-4)")</f>
        <v>Testing the Network Security Configuration Settings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HYPERLINK(CONCATENATE(BASE_URL,"0x05g-Testing-Network-Communication.md#testing-the-security-provider-mstg-network-6"),"Testing the Security Provider (MSTG-NETWORK-6)")</f>
        <v>Testing the Security Provider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HYPERLINK(CONCATENATE(BASE_URL,"0x05h-Testing-Platform-Interaction.md#testing-app-permissions-mstg-platform-1"),"Testing App Permissions (MSTG-PLATFORM-1)")</f>
        <v>Testing App Permissions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HYPERLINK(CONCATENATE(BASE_URL,"0x04h-Testing-Code-Quality.md#testing-for-injection-flaws-mstg-platform-2"),"Testing for Injection Flaws (MSTG-PLATFORM-2)")</f>
        <v>Testing for Injection Flaws (MSTG-PLATFORM-2)</v>
      </c>
      <c r="I56" s="90" t="str">
        <f aca="false">HYPERLINK(CONCATENATE(BASE_URL,"0x04h-Testing-Code-Quality.md#testing-for-fragment-injection-mstg-platform-2"),"Testing for Fragment Injection (MSTG-PLATFORM-2)")</f>
        <v>Testing for Fragment Injection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HYPERLINK(CONCATENATE(BASE_URL,"0x05h-Testing-Platform-Interaction.md#testing-javascript-execution-in-webviews-mstg-platform-5"),"Testing JavaScript Execution in WebViews (MSTG-PLATFORM-5)")</f>
        <v>Testing JavaScript Execution in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HYPERLINK(CONCATENATE(BASE_URL,"0x05h-Testing-Platform-Interaction.md#testing-webview-protocol-handlers-mstg-platform-6"),"Testing WebView Protocol Handlers (MSTG-PLATFORM-6)")</f>
        <v>Testing WebView Protocol Handlers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HYPERLINK(CONCATENATE(BASE_URL,"0x05h-Testing-Platform-Interaction.md#determining-whether-java-objects-are-exposed-through-webviews-mstg-platform-7"),"Determining Whether Java Objects Are Exposed Through WebViews (MSTG-PLATFORM-7)")</f>
        <v>Determining Whether Java Objects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HYPERLINK(CONCATENATE(BASE_URL,"0x05i-Testing-Code-Quality-and-Build-Settings.md#making-sure-that-the-app-is-properly-signed-mstg-code-1"),"Making Sure That the App is Properly Signed (MSTG-CODE-1)")</f>
        <v>Making Sure That the App is Properly Signed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HYPERLINK(CONCATENATE(BASE_URL,"0x05i-Testing-Code-Quality-and-Build-Settings.md#testing-whether-the-app-is-debuggable-mstg-code-2"),"Testing Whether the App is Debuggable (MSTG-CODE-2)")</f>
        <v>Testing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HYPERLINK(CONCATENATE(BASE_URL,"0x05i-Testing-Code-Quality-and-Build-Settings.md#testing-for-debugging-symbols-mstg-code-3"),"Testing for Debugging Symbols (MSTG-CODE-3)")</f>
        <v>Testing for Debugging Symbols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HYPERLINK(CONCATENATE(BASE_URL,"0x05i-Testing-Code-Quality-and-Build-Settings.md#testing-for-debugging-code-and-verbose-error-logging-mstg-code-4"),"Testing for Debugging Code and Verbose Error Logging (MSTG-CODE-4)")</f>
        <v>Testing for Debugging Code and Verbose Error Logging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HYPERLINK(CONCATENATE(BASE_URL,"0x05i-Testing-Code-Quality-and-Build-Settings.md#testing-exception-handling-mstg-code-6-and-mstg-code-7"),"Testing Exception Handling (MSTG-CODE-6 and MSTG-CODE-7)")</f>
        <v>Testing Exception Handling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HYPERLINK(CONCATENATE(BASE_URL,"0x05i-Testing-Code-Quality-and-Build-Settings.md#testing-exception-handling-mstg-code-6-and-mstg-code-7"),"Testing Exception Handling (MSTG-CODE-6 and MSTG-CODE-7)")</f>
        <v>Testing Exception Handling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HYPERLINK(CONCATENATE(BASE_URL,"0x04h-Testing-Code-Quality.md#memory-corruption-bugs-mstg-code-8"),"Memory Corruption Bugs (MSTG-CODE-8)")</f>
        <v>Memory Corruption Bugs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B1" activeCellId="0" sqref="B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3.85" hidden="false" customHeight="false" outlineLevel="0" collapsed="false">
      <c r="B5" s="65" t="s">
        <v>276</v>
      </c>
      <c r="C5" s="66" t="s">
        <v>277</v>
      </c>
      <c r="D5" s="96" t="s">
        <v>278</v>
      </c>
      <c r="E5" s="123" t="s">
        <v>64</v>
      </c>
      <c r="F5" s="70" t="s">
        <v>77</v>
      </c>
      <c r="G5" s="124" t="str">
        <f aca="false">HYPERLINK(CONCATENATE(BASE_URL,"0x05j-Testing-Resiliency-Against-Reverse-Engineering.md#testing-root-detection-mstg-resilience-1"),"Testing Root Detection (MSTG-RESILIENCE-1)")</f>
        <v>Testing Root Detection (MSTG-RESILIENCE-1)</v>
      </c>
      <c r="H5" s="125"/>
    </row>
    <row r="6" customFormat="false" ht="23.85" hidden="false" customHeight="false" outlineLevel="0" collapsed="false">
      <c r="B6" s="65" t="s">
        <v>279</v>
      </c>
      <c r="C6" s="66" t="s">
        <v>280</v>
      </c>
      <c r="D6" s="96" t="s">
        <v>281</v>
      </c>
      <c r="E6" s="123" t="s">
        <v>64</v>
      </c>
      <c r="F6" s="70" t="s">
        <v>77</v>
      </c>
      <c r="G6" s="126" t="str">
        <f aca="false">HYPERLINK(CONCATENATE(BASE_URL,"0x05j-Testing-Resiliency-Against-Reverse-Engineering.md#testing-anti-debugging-detection-mstg-resilience-2"),"Testing Anti-Debugging Detection (MSTG-RESILIENCE-2)")</f>
        <v>Testing Anti-Debugging Detection (MSTG-RESILIENCE-2)</v>
      </c>
      <c r="H6" s="125"/>
    </row>
    <row r="7" customFormat="false" ht="23.85" hidden="false" customHeight="false" outlineLevel="0" collapsed="false">
      <c r="B7" s="65" t="s">
        <v>282</v>
      </c>
      <c r="C7" s="66" t="s">
        <v>283</v>
      </c>
      <c r="D7" s="92" t="s">
        <v>284</v>
      </c>
      <c r="E7" s="123" t="s">
        <v>64</v>
      </c>
      <c r="F7" s="70" t="s">
        <v>77</v>
      </c>
      <c r="G7" s="124" t="str">
        <f aca="false">HYPERLINK(CONCATENATE(BASE_URL,"0x05j-Testing-Resiliency-Against-Reverse-Engineering.md#testing-file-integrity-checks-mstg-resilience-3"),"Testing File Integrity Checks (MSTG-RESILIENCE-3)")</f>
        <v>Testing File Integrity Checks (MSTG-RESILIENCE-3)</v>
      </c>
      <c r="H7" s="125"/>
    </row>
    <row r="8" customFormat="false" ht="23.85" hidden="false" customHeight="false" outlineLevel="0" collapsed="false">
      <c r="B8" s="65" t="s">
        <v>285</v>
      </c>
      <c r="C8" s="66" t="s">
        <v>286</v>
      </c>
      <c r="D8" s="92" t="s">
        <v>287</v>
      </c>
      <c r="E8" s="123" t="s">
        <v>64</v>
      </c>
      <c r="F8" s="70" t="s">
        <v>77</v>
      </c>
      <c r="G8" s="124" t="str">
        <f aca="false">HYPERLINK(CONCATENATE(BASE_URL,"0x05j-Testing-Resiliency-Against-Reverse-Engineering.md#testing-reverse-engineering-tools-detection-mstg-resilience-4"),"Testing Reverse Engineering Tools Detection (MSTG-RESILIENCE-4)")</f>
        <v>Testing Reverse Engineering Tools Detection (MSTG-RESILIENCE-4)</v>
      </c>
      <c r="H8" s="125"/>
    </row>
    <row r="9" customFormat="false" ht="15" hidden="false" customHeight="false" outlineLevel="0" collapsed="false">
      <c r="B9" s="65" t="s">
        <v>288</v>
      </c>
      <c r="C9" s="66" t="s">
        <v>289</v>
      </c>
      <c r="D9" s="92" t="s">
        <v>290</v>
      </c>
      <c r="E9" s="123" t="s">
        <v>64</v>
      </c>
      <c r="F9" s="70" t="s">
        <v>77</v>
      </c>
      <c r="G9" s="124" t="str">
        <f aca="false">HYPERLINK(CONCATENATE(BASE_URL,"0x05j-Testing-Resiliency-Against-Reverse-Engineering.md#testing-emulator-detection-mstg-resilience-5"),"Testing Emulator Detection (MSTG-RESILIENCE-5)")</f>
        <v>Testing Emulator Detection (MSTG-RESILIENCE-5)</v>
      </c>
      <c r="H9" s="125"/>
    </row>
    <row r="10" customFormat="false" ht="15" hidden="false" customHeight="false" outlineLevel="0" collapsed="false">
      <c r="B10" s="65" t="s">
        <v>291</v>
      </c>
      <c r="C10" s="66" t="s">
        <v>292</v>
      </c>
      <c r="D10" s="92" t="s">
        <v>293</v>
      </c>
      <c r="E10" s="123" t="s">
        <v>64</v>
      </c>
      <c r="F10" s="70" t="s">
        <v>77</v>
      </c>
      <c r="G10" s="124" t="str">
        <f aca="false">HYPERLINK(CONCATENATE(BASE_URL,"0x05j-Testing-Resiliency-Against-Reverse-Engineering.md#testing-run-time-integrity-checks-mstg-resilience-6"),"Testing Run Time Integrity Checks (MSTG-RESILIENCE-6)")</f>
        <v>Testing Run Time Integrity Checks (MSTG-RESILIENCE-6)</v>
      </c>
      <c r="H10" s="125"/>
    </row>
    <row r="11" customFormat="false" ht="23.85" hidden="false" customHeight="false" outlineLevel="0" collapsed="false">
      <c r="B11" s="65" t="s">
        <v>294</v>
      </c>
      <c r="C11" s="66" t="s">
        <v>295</v>
      </c>
      <c r="D11" s="96" t="s">
        <v>296</v>
      </c>
      <c r="E11" s="123" t="s">
        <v>64</v>
      </c>
      <c r="F11" s="70" t="s">
        <v>77</v>
      </c>
      <c r="G11" s="127" t="s">
        <v>297</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3.85" hidden="false" customHeight="false" outlineLevel="0" collapsed="false">
      <c r="B13" s="65" t="s">
        <v>302</v>
      </c>
      <c r="C13" s="66" t="s">
        <v>303</v>
      </c>
      <c r="D13" s="92" t="s">
        <v>304</v>
      </c>
      <c r="E13" s="123" t="s">
        <v>64</v>
      </c>
      <c r="F13" s="70" t="s">
        <v>77</v>
      </c>
      <c r="G13" s="124" t="str">
        <f aca="false">HYPERLINK(CONCATENATE(BASE_URL,"0x05j-Testing-Resiliency-Against-Reverse-Engineering.md#testing-obfuscation-mstg-resilience-9"),"Testing Obfuscation (MSTG-RESILIENCE-9)")</f>
        <v>Testing Obfuscation (MSTG-RESILIENCE-9)</v>
      </c>
      <c r="H13" s="125"/>
    </row>
    <row r="14" customFormat="false" ht="15" hidden="false" customHeight="false" outlineLevel="0" collapsed="false">
      <c r="B14" s="79"/>
      <c r="C14" s="80"/>
      <c r="D14" s="81" t="s">
        <v>305</v>
      </c>
      <c r="E14" s="82"/>
      <c r="F14" s="82"/>
      <c r="G14" s="122"/>
      <c r="H14" s="86"/>
    </row>
    <row r="15" customFormat="false" ht="23.85" hidden="false" customHeight="false" outlineLevel="0" collapsed="false">
      <c r="B15" s="65" t="s">
        <v>306</v>
      </c>
      <c r="C15" s="66" t="s">
        <v>307</v>
      </c>
      <c r="D15" s="96" t="s">
        <v>308</v>
      </c>
      <c r="E15" s="123" t="s">
        <v>64</v>
      </c>
      <c r="F15" s="70" t="s">
        <v>77</v>
      </c>
      <c r="G15" s="124" t="str">
        <f aca="false">HYPERLINK(CONCATENATE(BASE_URL,"0x05j-Testing-Resiliency-Against-Reverse-Engineering.md#testing-device-binding-mstg-resilience-10"),"Testing Device Binding (MSTG-RESILIENCE-10)")</f>
        <v>Testing Device Binding (MSTG-RESILIENCE-10)</v>
      </c>
      <c r="H15" s="125"/>
    </row>
    <row r="16" customFormat="false" ht="15" hidden="false" customHeight="false" outlineLevel="0" collapsed="false">
      <c r="B16" s="79"/>
      <c r="C16" s="80"/>
      <c r="D16" s="81" t="s">
        <v>309</v>
      </c>
      <c r="E16" s="82"/>
      <c r="F16" s="82"/>
      <c r="G16" s="122"/>
      <c r="H16" s="86"/>
    </row>
    <row r="17" customFormat="false" ht="35.05" hidden="false" customHeight="false" outlineLevel="0" collapsed="false">
      <c r="B17" s="65" t="s">
        <v>310</v>
      </c>
      <c r="C17" s="66" t="s">
        <v>311</v>
      </c>
      <c r="D17" s="96" t="s">
        <v>312</v>
      </c>
      <c r="E17" s="123" t="s">
        <v>64</v>
      </c>
      <c r="F17" s="70" t="s">
        <v>77</v>
      </c>
      <c r="G17" s="124" t="str">
        <f aca="false">HYPERLINK(CONCATENATE(BASE_URL,"0x05j-Testing-Resiliency-Against-Reverse-Engineering.md#testing-obfuscation-mstg-resilience-9"),"Testing Obfuscation (MSTG-RESILIENCE-9)")</f>
        <v>Testing Obfuscation (MSTG-RESILIENCE-9)</v>
      </c>
      <c r="H17" s="125"/>
    </row>
    <row r="18" customFormat="false" ht="57.45" hidden="false" customHeight="false" outlineLevel="0" collapsed="false">
      <c r="B18" s="65" t="s">
        <v>313</v>
      </c>
      <c r="C18" s="66" t="s">
        <v>314</v>
      </c>
      <c r="D18" s="96" t="s">
        <v>315</v>
      </c>
      <c r="E18" s="123" t="s">
        <v>64</v>
      </c>
      <c r="F18" s="70" t="s">
        <v>77</v>
      </c>
      <c r="G18" s="128" t="s">
        <v>297</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A73" colorId="64" zoomScale="75" zoomScaleNormal="75" zoomScalePageLayoutView="100" workbookViewId="0">
      <selection pane="topLeft" activeCell="A3" activeCellId="0" sqref="A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316</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"Architectural Information")</f>
        <v>Architectural Information</v>
      </c>
      <c r="I5" s="76"/>
      <c r="J5" s="76"/>
      <c r="K5" s="73"/>
    </row>
    <row r="6" customFormat="false" ht="15" hidden="false" customHeight="false" outlineLevel="0" collapsed="false">
      <c r="B6" s="65" t="s">
        <v>65</v>
      </c>
      <c r="C6" s="66" t="s">
        <v>66</v>
      </c>
      <c r="D6" s="67" t="s">
        <v>67</v>
      </c>
      <c r="E6" s="68" t="s">
        <v>64</v>
      </c>
      <c r="F6" s="69" t="s">
        <v>64</v>
      </c>
      <c r="G6" s="70"/>
      <c r="H6" s="134" t="str">
        <f aca="false">HYPERLINK(CONCATENATE( BASE_URL, "0x04h-Testing-Code-Quality.md#injection-flaws-mstg-arch-2-and-mstg-platform-2"), "Injection Flaws (MSTG-ARCH-2 and MSTG-PLATFORM-2)")</f>
        <v>Injection Flaws (MSTG-ARCH-2 and MSTG-PLATFORM-2)</v>
      </c>
      <c r="I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J6" s="135"/>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"Architectural Information")</f>
        <v>Architectural Information</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"Identifying Sensitive Data")</f>
        <v>Identifying Sensitive Data</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"Environmental Information")</f>
        <v>Environmental Information</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"Mapping the Application")</f>
        <v>Mapping the Application</v>
      </c>
      <c r="I10" s="76"/>
      <c r="J10" s="76"/>
      <c r="K10" s="73"/>
    </row>
    <row r="11" customFormat="false" ht="15" hidden="false" customHeight="false" outlineLevel="0" collapsed="false">
      <c r="B11" s="65" t="s">
        <v>81</v>
      </c>
      <c r="C11" s="66" t="s">
        <v>82</v>
      </c>
      <c r="D11" s="67" t="s">
        <v>83</v>
      </c>
      <c r="E11" s="77"/>
      <c r="F11" s="69" t="s">
        <v>64</v>
      </c>
      <c r="G11" s="70" t="s">
        <v>77</v>
      </c>
      <c r="H11" s="134" t="str">
        <f aca="false">HYPERLINK(CONCATENATE( BASE_URL, "0x04b-Mobile-App-Security-Testing.md#principles-of-testing"), "Principles of Testing")</f>
        <v>Principles of Testing</v>
      </c>
      <c r="I11" s="75" t="str">
        <f aca="false">HYPERLINK(CONCATENATE( BASE_URL, "0x04b-Mobile-App-Security-Testing.md#penetration-testing-aka-pentesting"), "Penetration Testing (a.k.a. Pentesting)")</f>
        <v>Penetration Testing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"Cryptographic policy")</f>
        <v>Cryptographic policy</v>
      </c>
      <c r="I12" s="76"/>
      <c r="J12" s="76"/>
      <c r="K12" s="73"/>
    </row>
    <row r="13" customFormat="false" ht="15" hidden="false" customHeight="false" outlineLevel="0" collapsed="false">
      <c r="B13" s="65" t="s">
        <v>87</v>
      </c>
      <c r="C13" s="66" t="s">
        <v>88</v>
      </c>
      <c r="D13" s="67" t="s">
        <v>89</v>
      </c>
      <c r="E13" s="77"/>
      <c r="F13" s="69" t="s">
        <v>64</v>
      </c>
      <c r="G13" s="70" t="s">
        <v>77</v>
      </c>
      <c r="H13" s="134" t="str">
        <f aca="false">HYPERLINK(CONCATENATE( BASE_URL, "0x06h-Testing-Platform-Interaction.md#testing-enforced-updating-mstg-arch-9"), "Testing enforced updating (MSTG-ARCH-9)")</f>
        <v>Testing enforced updating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"Security Testing and the SDLC")</f>
        <v>Security Testing and the SDLC</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90"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90"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90"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90"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36"/>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90"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37"/>
      <c r="K36" s="125"/>
    </row>
    <row r="37" customFormat="false" ht="24.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90"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37"/>
      <c r="K38" s="125"/>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37"/>
      <c r="K41" s="125"/>
    </row>
    <row r="42" customFormat="false" ht="24.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HYPERLINK(CONCATENATE(BASE_URL,"0x04e-Testing-Authentication-and-Session-Management.md#testing-session-timeout-mstg-auth-7"),"Testing Session Timeout (MSTG-AUTH-7)")</f>
        <v>Testing Session Timeout (MSTG-AUTH-7)</v>
      </c>
      <c r="I42" s="97"/>
      <c r="J42" s="13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HYPERLINK(CONCATENATE(BASE_URL,"0x06f-Testing-Local-Authentication.md#testing-local-authentication-mstg-auth-8-and-mstg-storage-11"),"Testing Local Authentication (MSTG-AUTH-8 and MSTG-STORAGE-11)")</f>
        <v>Testing Local Authentication (MSTG-AUTH-8 and MSTG-STORAGE-11)</v>
      </c>
      <c r="I43" s="90"/>
      <c r="J43" s="137"/>
      <c r="K43" s="125"/>
    </row>
    <row r="44" customFormat="false" ht="15" hidden="false" customHeight="false" outlineLevel="0" collapsed="false">
      <c r="B44" s="87" t="s">
        <v>177</v>
      </c>
      <c r="C44" s="88" t="s">
        <v>178</v>
      </c>
      <c r="D44" s="96" t="s">
        <v>179</v>
      </c>
      <c r="E44" s="93"/>
      <c r="F44" s="69" t="s">
        <v>64</v>
      </c>
      <c r="G44" s="70" t="s">
        <v>77</v>
      </c>
      <c r="H44"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89"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00"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89"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134"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00"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39"/>
      <c r="K73" s="140"/>
    </row>
    <row r="74" customFormat="false" ht="15.6" hidden="false" customHeight="false" outlineLevel="0" collapsed="false">
      <c r="B74" s="141"/>
      <c r="C74" s="141"/>
      <c r="D74" s="92"/>
      <c r="E74" s="114"/>
      <c r="F74" s="114"/>
      <c r="G74" s="114"/>
      <c r="H74" s="114"/>
      <c r="I74" s="114"/>
      <c r="J74" s="114"/>
      <c r="K74" s="92"/>
    </row>
    <row r="75" customFormat="false" ht="15.6" hidden="false" customHeight="false" outlineLevel="0" collapsed="false">
      <c r="B75" s="141"/>
      <c r="C75" s="141"/>
      <c r="D75" s="92"/>
      <c r="E75" s="114"/>
      <c r="F75" s="114"/>
      <c r="G75" s="114"/>
      <c r="H75" s="114"/>
      <c r="I75" s="114"/>
      <c r="J75" s="114"/>
      <c r="K75" s="92"/>
    </row>
    <row r="76" customFormat="false" ht="15.6" hidden="false" customHeight="false" outlineLevel="0" collapsed="false">
      <c r="B76" s="141"/>
      <c r="C76" s="141"/>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1"/>
      <c r="C82" s="141"/>
      <c r="D82" s="92"/>
      <c r="E82" s="114"/>
      <c r="F82" s="114"/>
      <c r="G82" s="114"/>
      <c r="H82" s="114"/>
      <c r="I82" s="114"/>
      <c r="J82" s="114"/>
      <c r="K82" s="92"/>
    </row>
    <row r="83" customFormat="false" ht="15.6" hidden="false" customHeight="false" outlineLevel="0" collapsed="false">
      <c r="B83" s="141"/>
      <c r="C83" s="141"/>
      <c r="D83" s="92"/>
      <c r="E83" s="114"/>
      <c r="F83" s="114"/>
      <c r="G83" s="114"/>
      <c r="H83" s="114"/>
      <c r="I83" s="114"/>
      <c r="J83" s="114"/>
      <c r="K83" s="92"/>
    </row>
    <row r="84" customFormat="false" ht="15.6" hidden="false" customHeight="false" outlineLevel="0" collapsed="false">
      <c r="B84" s="141"/>
      <c r="C84" s="141"/>
      <c r="D84" s="92"/>
      <c r="E84" s="114"/>
      <c r="F84" s="114"/>
      <c r="G84" s="114"/>
      <c r="H84" s="114"/>
      <c r="I84" s="114"/>
      <c r="J84" s="114"/>
      <c r="K84" s="92"/>
    </row>
    <row r="85" customFormat="false" ht="15.6" hidden="false" customHeight="false" outlineLevel="0" collapsed="false">
      <c r="B85" s="141"/>
      <c r="C85" s="141"/>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H26 H28:H1048576 H1:H2">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conditionalFormatting sqref="I6">
    <cfRule type="containsText" priority="5" operator="containsText" aboveAverage="0" equalAverage="0" bottom="0" percent="0" rank="0" text="0x05" dxfId="5">
      <formula>NOT(ISERROR(SEARCH("0x05",I6)))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317</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272</v>
      </c>
      <c r="G3" s="121" t="s">
        <v>273</v>
      </c>
      <c r="H3" s="58" t="s">
        <v>274</v>
      </c>
    </row>
    <row r="4" customFormat="false" ht="15" hidden="false" customHeight="false" outlineLevel="0" collapsed="false">
      <c r="B4" s="79"/>
      <c r="C4" s="80"/>
      <c r="D4" s="81" t="s">
        <v>275</v>
      </c>
      <c r="E4" s="82"/>
      <c r="F4" s="82"/>
      <c r="G4" s="122"/>
      <c r="H4" s="86"/>
    </row>
    <row r="5" customFormat="false" ht="24.85" hidden="false" customHeight="false" outlineLevel="0" collapsed="false">
      <c r="B5" s="65" t="s">
        <v>276</v>
      </c>
      <c r="C5" s="66" t="s">
        <v>277</v>
      </c>
      <c r="D5" s="96" t="s">
        <v>278</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279</v>
      </c>
      <c r="C6" s="66" t="s">
        <v>280</v>
      </c>
      <c r="D6" s="96" t="s">
        <v>281</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282</v>
      </c>
      <c r="C7" s="66" t="s">
        <v>283</v>
      </c>
      <c r="D7" s="92" t="s">
        <v>284</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285</v>
      </c>
      <c r="C8" s="66" t="s">
        <v>286</v>
      </c>
      <c r="D8" s="92" t="s">
        <v>287</v>
      </c>
      <c r="E8" s="123" t="s">
        <v>64</v>
      </c>
      <c r="F8" s="70" t="s">
        <v>77</v>
      </c>
      <c r="G8" s="142" t="s">
        <v>301</v>
      </c>
      <c r="H8" s="125"/>
    </row>
    <row r="9" customFormat="false" ht="15" hidden="false" customHeight="false" outlineLevel="0" collapsed="false">
      <c r="B9" s="65" t="s">
        <v>288</v>
      </c>
      <c r="C9" s="66" t="s">
        <v>289</v>
      </c>
      <c r="D9" s="92" t="s">
        <v>290</v>
      </c>
      <c r="E9" s="123" t="s">
        <v>64</v>
      </c>
      <c r="F9" s="70" t="s">
        <v>77</v>
      </c>
      <c r="G9" s="142" t="s">
        <v>301</v>
      </c>
      <c r="H9" s="125"/>
    </row>
    <row r="10" customFormat="false" ht="15" hidden="false" customHeight="false" outlineLevel="0" collapsed="false">
      <c r="B10" s="65" t="s">
        <v>291</v>
      </c>
      <c r="C10" s="66" t="s">
        <v>292</v>
      </c>
      <c r="D10" s="92" t="s">
        <v>293</v>
      </c>
      <c r="E10" s="123" t="s">
        <v>64</v>
      </c>
      <c r="F10" s="70" t="s">
        <v>77</v>
      </c>
      <c r="G10" s="142" t="s">
        <v>301</v>
      </c>
      <c r="H10" s="125"/>
    </row>
    <row r="11" customFormat="false" ht="24.85" hidden="false" customHeight="false" outlineLevel="0" collapsed="false">
      <c r="B11" s="65" t="s">
        <v>294</v>
      </c>
      <c r="C11" s="66" t="s">
        <v>295</v>
      </c>
      <c r="D11" s="96" t="s">
        <v>296</v>
      </c>
      <c r="E11" s="123" t="s">
        <v>64</v>
      </c>
      <c r="F11" s="70" t="s">
        <v>77</v>
      </c>
      <c r="G11" s="128" t="s">
        <v>301</v>
      </c>
      <c r="H11" s="125"/>
    </row>
    <row r="12" customFormat="false" ht="15" hidden="false" customHeight="false" outlineLevel="0" collapsed="false">
      <c r="B12" s="65" t="s">
        <v>298</v>
      </c>
      <c r="C12" s="66" t="s">
        <v>299</v>
      </c>
      <c r="D12" s="92" t="s">
        <v>300</v>
      </c>
      <c r="E12" s="123" t="s">
        <v>64</v>
      </c>
      <c r="F12" s="70" t="s">
        <v>77</v>
      </c>
      <c r="G12" s="128" t="s">
        <v>301</v>
      </c>
      <c r="H12" s="125"/>
    </row>
    <row r="13" customFormat="false" ht="24.85" hidden="false" customHeight="false" outlineLevel="0" collapsed="false">
      <c r="B13" s="65" t="s">
        <v>302</v>
      </c>
      <c r="C13" s="66" t="s">
        <v>303</v>
      </c>
      <c r="D13" s="92" t="s">
        <v>304</v>
      </c>
      <c r="E13" s="123" t="s">
        <v>64</v>
      </c>
      <c r="F13" s="70" t="s">
        <v>77</v>
      </c>
      <c r="G13" s="142" t="s">
        <v>301</v>
      </c>
      <c r="H13" s="125"/>
    </row>
    <row r="14" customFormat="false" ht="15" hidden="false" customHeight="false" outlineLevel="0" collapsed="false">
      <c r="B14" s="79"/>
      <c r="C14" s="80"/>
      <c r="D14" s="81" t="s">
        <v>305</v>
      </c>
      <c r="E14" s="82"/>
      <c r="F14" s="82"/>
      <c r="G14" s="122"/>
      <c r="H14" s="86"/>
    </row>
    <row r="15" customFormat="false" ht="24.85" hidden="false" customHeight="false" outlineLevel="0" collapsed="false">
      <c r="B15" s="65" t="s">
        <v>306</v>
      </c>
      <c r="C15" s="66" t="s">
        <v>307</v>
      </c>
      <c r="D15" s="96" t="s">
        <v>308</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309</v>
      </c>
      <c r="E16" s="82"/>
      <c r="F16" s="82"/>
      <c r="G16" s="122"/>
      <c r="H16" s="86"/>
    </row>
    <row r="17" customFormat="false" ht="35.8" hidden="false" customHeight="false" outlineLevel="0" collapsed="false">
      <c r="B17" s="65" t="s">
        <v>310</v>
      </c>
      <c r="C17" s="66" t="s">
        <v>311</v>
      </c>
      <c r="D17" s="96" t="s">
        <v>312</v>
      </c>
      <c r="E17" s="123" t="s">
        <v>64</v>
      </c>
      <c r="F17" s="70" t="s">
        <v>77</v>
      </c>
      <c r="G17" s="143"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313</v>
      </c>
      <c r="C18" s="66" t="s">
        <v>314</v>
      </c>
      <c r="D18" s="96" t="s">
        <v>315</v>
      </c>
      <c r="E18" s="123" t="s">
        <v>64</v>
      </c>
      <c r="F18" s="70" t="s">
        <v>77</v>
      </c>
      <c r="G18" s="128" t="s">
        <v>301</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1"/>
      <c r="C20" s="141"/>
      <c r="D20" s="92"/>
      <c r="E20" s="114"/>
      <c r="F20" s="114"/>
      <c r="G20" s="114"/>
      <c r="H20" s="92"/>
    </row>
    <row r="21" customFormat="false" ht="15.6" hidden="false" customHeight="false" outlineLevel="0" collapsed="false">
      <c r="B21" s="141"/>
      <c r="C21" s="141"/>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1"/>
      <c r="C27" s="141"/>
      <c r="D27" s="92"/>
      <c r="E27" s="114"/>
      <c r="F27" s="114"/>
      <c r="G27" s="114"/>
      <c r="H27" s="92"/>
    </row>
    <row r="28" customFormat="false" ht="15.6" hidden="false" customHeight="false" outlineLevel="0" collapsed="false">
      <c r="B28" s="141"/>
      <c r="C28" s="141"/>
      <c r="D28" s="92"/>
      <c r="E28" s="114"/>
      <c r="F28" s="114"/>
      <c r="G28" s="114"/>
      <c r="H28" s="92"/>
    </row>
    <row r="29" customFormat="false" ht="15.6" hidden="false" customHeight="false" outlineLevel="0" collapsed="false">
      <c r="B29" s="141"/>
      <c r="C29" s="141"/>
      <c r="D29" s="92"/>
      <c r="E29" s="114"/>
      <c r="F29" s="114"/>
      <c r="G29" s="114"/>
      <c r="H29" s="92"/>
    </row>
    <row r="30" customFormat="false" ht="15.6" hidden="false" customHeight="false" outlineLevel="0" collapsed="false">
      <c r="B30" s="141"/>
      <c r="C30" s="141"/>
      <c r="D30" s="92"/>
      <c r="E30" s="114"/>
      <c r="F30" s="114"/>
    </row>
    <row r="31" customFormat="false" ht="15.6" hidden="false" customHeight="false" outlineLevel="0" collapsed="false">
      <c r="B31" s="141"/>
      <c r="C31" s="141"/>
      <c r="D31" s="92"/>
      <c r="E31" s="114"/>
      <c r="F31" s="114"/>
    </row>
    <row r="32" customFormat="false" ht="15.6" hidden="false" customHeight="false" outlineLevel="0" collapsed="false">
      <c r="B32" s="141"/>
      <c r="C32" s="141"/>
      <c r="D32" s="92"/>
      <c r="E32" s="114"/>
      <c r="F32" s="114"/>
    </row>
  </sheetData>
  <conditionalFormatting sqref="G8">
    <cfRule type="containsText" priority="2" operator="containsText" aboveAverage="0" equalAverage="0" bottom="0" percent="0" rank="0" text="0x05" dxfId="6">
      <formula>NOT(ISERROR(SEARCH("0x05",G8)))</formula>
    </cfRule>
  </conditionalFormatting>
  <conditionalFormatting sqref="G9">
    <cfRule type="containsText" priority="3" operator="containsText" aboveAverage="0" equalAverage="0" bottom="0" percent="0" rank="0" text="0x05" dxfId="7">
      <formula>NOT(ISERROR(SEARCH("0x05",G9)))</formula>
    </cfRule>
  </conditionalFormatting>
  <conditionalFormatting sqref="G10">
    <cfRule type="containsText" priority="4" operator="containsText" aboveAverage="0" equalAverage="0" bottom="0" percent="0" rank="0" text="0x05" dxfId="8">
      <formula>NOT(ISERROR(SEARCH("0x05",G10)))</formula>
    </cfRule>
  </conditionalFormatting>
  <conditionalFormatting sqref="G11">
    <cfRule type="containsText" priority="5" operator="containsText" aboveAverage="0" equalAverage="0" bottom="0" percent="0" rank="0" text="0x05" dxfId="9">
      <formula>NOT(ISERROR(SEARCH("0x05",G11)))</formula>
    </cfRule>
  </conditionalFormatting>
  <conditionalFormatting sqref="G12">
    <cfRule type="containsText" priority="6" operator="containsText" aboveAverage="0" equalAverage="0" bottom="0" percent="0" rank="0" text="0x05" dxfId="10">
      <formula>NOT(ISERROR(SEARCH("0x05",G12)))</formula>
    </cfRule>
  </conditionalFormatting>
  <conditionalFormatting sqref="G13">
    <cfRule type="containsText" priority="7" operator="containsText" aboveAverage="0" equalAverage="0" bottom="0" percent="0" rank="0" text="0x05" dxfId="11">
      <formula>NOT(ISERROR(SEARCH("0x05",G13)))</formula>
    </cfRule>
  </conditionalFormatting>
  <conditionalFormatting sqref="G17">
    <cfRule type="containsText" priority="8" operator="containsText" aboveAverage="0" equalAverage="0" bottom="0" percent="0" rank="0" text="0x05" dxfId="12">
      <formula>NOT(ISERROR(SEARCH("0x05",G17)))</formula>
    </cfRule>
  </conditionalFormatting>
  <conditionalFormatting sqref="G18">
    <cfRule type="containsText" priority="9" operator="containsText" aboveAverage="0" equalAverage="0" bottom="0" percent="0" rank="0" text="0x05" dxfId="13">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44" t="s">
        <v>318</v>
      </c>
      <c r="B1" s="144"/>
      <c r="C1" s="145"/>
      <c r="D1" s="52"/>
      <c r="E1" s="52"/>
    </row>
    <row r="2" customFormat="false" ht="15.6" hidden="false" customHeight="false" outlineLevel="0" collapsed="false">
      <c r="A2" s="146" t="s">
        <v>319</v>
      </c>
      <c r="B2" s="146" t="s">
        <v>320</v>
      </c>
      <c r="C2" s="146" t="s">
        <v>321</v>
      </c>
      <c r="D2" s="146" t="s">
        <v>322</v>
      </c>
      <c r="E2" s="146" t="s">
        <v>274</v>
      </c>
    </row>
    <row r="3" customFormat="false" ht="15.6" hidden="false" customHeight="false" outlineLevel="0" collapsed="false">
      <c r="A3" s="147" t="s">
        <v>323</v>
      </c>
      <c r="B3" s="148" t="n">
        <v>0.1</v>
      </c>
      <c r="C3" s="148"/>
      <c r="D3" s="149" t="n">
        <v>42765</v>
      </c>
      <c r="E3" s="150" t="s">
        <v>324</v>
      </c>
    </row>
    <row r="4" customFormat="false" ht="15.6" hidden="false" customHeight="false" outlineLevel="0" collapsed="false">
      <c r="A4" s="150" t="s">
        <v>325</v>
      </c>
      <c r="B4" s="148" t="n">
        <v>0.2</v>
      </c>
      <c r="C4" s="148"/>
      <c r="D4" s="149" t="n">
        <v>42766</v>
      </c>
      <c r="E4" s="150" t="s">
        <v>326</v>
      </c>
    </row>
    <row r="5" customFormat="false" ht="15.6" hidden="false" customHeight="false" outlineLevel="0" collapsed="false">
      <c r="A5" s="150" t="s">
        <v>327</v>
      </c>
      <c r="B5" s="148" t="n">
        <v>0.3</v>
      </c>
      <c r="C5" s="148"/>
      <c r="D5" s="149" t="n">
        <v>42778</v>
      </c>
      <c r="E5" s="150" t="s">
        <v>328</v>
      </c>
    </row>
    <row r="6" customFormat="false" ht="15.6" hidden="false" customHeight="false" outlineLevel="0" collapsed="false">
      <c r="A6" s="150" t="s">
        <v>329</v>
      </c>
      <c r="B6" s="148" t="s">
        <v>330</v>
      </c>
      <c r="C6" s="148"/>
      <c r="D6" s="149" t="n">
        <v>42780</v>
      </c>
      <c r="E6" s="150" t="s">
        <v>331</v>
      </c>
    </row>
    <row r="7" customFormat="false" ht="15.6" hidden="false" customHeight="false" outlineLevel="0" collapsed="false">
      <c r="A7" s="150" t="s">
        <v>325</v>
      </c>
      <c r="B7" s="151" t="s">
        <v>332</v>
      </c>
      <c r="C7" s="151"/>
      <c r="D7" s="149" t="n">
        <v>42781</v>
      </c>
      <c r="E7" s="150" t="s">
        <v>333</v>
      </c>
    </row>
    <row r="8" customFormat="false" ht="15.6" hidden="false" customHeight="false" outlineLevel="0" collapsed="false">
      <c r="A8" s="150" t="s">
        <v>329</v>
      </c>
      <c r="B8" s="151" t="s">
        <v>334</v>
      </c>
      <c r="C8" s="151"/>
      <c r="D8" s="149" t="n">
        <v>42829</v>
      </c>
      <c r="E8" s="150" t="s">
        <v>335</v>
      </c>
    </row>
    <row r="9" customFormat="false" ht="15.6" hidden="false" customHeight="false" outlineLevel="0" collapsed="false">
      <c r="A9" s="150" t="s">
        <v>325</v>
      </c>
      <c r="B9" s="151" t="s">
        <v>334</v>
      </c>
      <c r="C9" s="151"/>
      <c r="D9" s="149" t="n">
        <v>42919</v>
      </c>
      <c r="E9" s="150" t="s">
        <v>336</v>
      </c>
    </row>
    <row r="10" customFormat="false" ht="15.6" hidden="false" customHeight="false" outlineLevel="0" collapsed="false">
      <c r="A10" s="150" t="s">
        <v>325</v>
      </c>
      <c r="B10" s="151" t="s">
        <v>337</v>
      </c>
      <c r="C10" s="151"/>
      <c r="D10" s="149" t="n">
        <v>42963</v>
      </c>
      <c r="E10" s="150" t="s">
        <v>338</v>
      </c>
    </row>
    <row r="11" customFormat="false" ht="15.6" hidden="false" customHeight="false" outlineLevel="0" collapsed="false">
      <c r="A11" s="150" t="s">
        <v>325</v>
      </c>
      <c r="B11" s="151" t="s">
        <v>339</v>
      </c>
      <c r="C11" s="151"/>
      <c r="D11" s="149" t="n">
        <v>43113</v>
      </c>
      <c r="E11" s="150" t="s">
        <v>340</v>
      </c>
    </row>
    <row r="12" customFormat="false" ht="15.6" hidden="false" customHeight="false" outlineLevel="0" collapsed="false">
      <c r="A12" s="150" t="s">
        <v>325</v>
      </c>
      <c r="B12" s="151" t="n">
        <v>1.1</v>
      </c>
      <c r="C12" s="151"/>
      <c r="D12" s="149" t="n">
        <v>43289</v>
      </c>
      <c r="E12" s="150" t="s">
        <v>341</v>
      </c>
    </row>
    <row r="13" customFormat="false" ht="15.6" hidden="false" customHeight="false" outlineLevel="0" collapsed="false">
      <c r="A13" s="150" t="s">
        <v>342</v>
      </c>
      <c r="B13" s="152" t="s">
        <v>343</v>
      </c>
      <c r="C13" s="153"/>
      <c r="D13" s="149" t="n">
        <v>43464</v>
      </c>
      <c r="E13" s="154" t="s">
        <v>344</v>
      </c>
    </row>
    <row r="14" customFormat="false" ht="15.6" hidden="false" customHeight="false" outlineLevel="0" collapsed="false">
      <c r="A14" s="150" t="s">
        <v>345</v>
      </c>
      <c r="B14" s="152" t="s">
        <v>346</v>
      </c>
      <c r="C14" s="153"/>
      <c r="D14" s="149" t="n">
        <v>43469</v>
      </c>
      <c r="E14" s="154" t="s">
        <v>344</v>
      </c>
    </row>
    <row r="15" customFormat="false" ht="409.05" hidden="false" customHeight="true" outlineLevel="0" collapsed="false">
      <c r="A15" s="155" t="s">
        <v>347</v>
      </c>
      <c r="B15" s="151" t="s">
        <v>348</v>
      </c>
      <c r="C15" s="151" t="s">
        <v>349</v>
      </c>
      <c r="D15" s="149" t="n">
        <v>43471</v>
      </c>
      <c r="E15" s="156" t="s">
        <v>350</v>
      </c>
    </row>
    <row r="16" customFormat="false" ht="15.6" hidden="false" customHeight="false" outlineLevel="0" collapsed="false">
      <c r="A16" s="150" t="s">
        <v>342</v>
      </c>
      <c r="B16" s="152" t="s">
        <v>351</v>
      </c>
      <c r="C16" s="151" t="s">
        <v>349</v>
      </c>
      <c r="D16" s="157" t="n">
        <v>43475</v>
      </c>
      <c r="E16" s="154" t="s">
        <v>352</v>
      </c>
    </row>
    <row r="17" customFormat="false" ht="78" hidden="false" customHeight="false" outlineLevel="0" collapsed="false">
      <c r="A17" s="155" t="s">
        <v>347</v>
      </c>
      <c r="B17" s="152" t="s">
        <v>353</v>
      </c>
      <c r="C17" s="151" t="s">
        <v>349</v>
      </c>
      <c r="D17" s="149" t="n">
        <v>43476</v>
      </c>
      <c r="E17" s="155" t="s">
        <v>354</v>
      </c>
    </row>
    <row r="18" customFormat="false" ht="46.8" hidden="false" customHeight="false" outlineLevel="0" collapsed="false">
      <c r="A18" s="155" t="s">
        <v>347</v>
      </c>
      <c r="B18" s="152" t="s">
        <v>355</v>
      </c>
      <c r="C18" s="151" t="s">
        <v>349</v>
      </c>
      <c r="D18" s="149" t="n">
        <v>43478</v>
      </c>
      <c r="E18" s="155" t="s">
        <v>356</v>
      </c>
    </row>
    <row r="19" customFormat="false" ht="46.8" hidden="false" customHeight="false" outlineLevel="0" collapsed="false">
      <c r="A19" s="155" t="s">
        <v>347</v>
      </c>
      <c r="B19" s="152" t="s">
        <v>357</v>
      </c>
      <c r="C19" s="151" t="s">
        <v>349</v>
      </c>
      <c r="D19" s="149" t="n">
        <v>43478</v>
      </c>
      <c r="E19" s="155" t="s">
        <v>358</v>
      </c>
    </row>
    <row r="20" customFormat="false" ht="109.2" hidden="false" customHeight="false" outlineLevel="0" collapsed="false">
      <c r="A20" s="155" t="s">
        <v>342</v>
      </c>
      <c r="B20" s="152" t="s">
        <v>359</v>
      </c>
      <c r="C20" s="151" t="s">
        <v>3</v>
      </c>
      <c r="D20" s="149" t="n">
        <v>43641</v>
      </c>
      <c r="E20" s="156" t="s">
        <v>360</v>
      </c>
    </row>
    <row r="21" customFormat="false" ht="15.6" hidden="false" customHeight="false" outlineLevel="0" collapsed="false">
      <c r="A21" s="155" t="s">
        <v>342</v>
      </c>
      <c r="B21" s="152" t="s">
        <v>361</v>
      </c>
      <c r="C21" s="151" t="s">
        <v>3</v>
      </c>
      <c r="D21" s="149" t="n">
        <v>43642</v>
      </c>
      <c r="E21" s="155" t="s">
        <v>362</v>
      </c>
    </row>
    <row r="22" customFormat="false" ht="46.8" hidden="false" customHeight="false" outlineLevel="0" collapsed="false">
      <c r="A22" s="155" t="s">
        <v>342</v>
      </c>
      <c r="B22" s="152" t="s">
        <v>363</v>
      </c>
      <c r="C22" s="151" t="s">
        <v>3</v>
      </c>
      <c r="D22" s="149" t="n">
        <v>43649</v>
      </c>
      <c r="E22" s="155" t="s">
        <v>364</v>
      </c>
    </row>
    <row r="23" customFormat="false" ht="15.6" hidden="false" customHeight="false" outlineLevel="0" collapsed="false">
      <c r="A23" s="155" t="s">
        <v>342</v>
      </c>
      <c r="B23" s="152" t="s">
        <v>363</v>
      </c>
      <c r="C23" s="151" t="s">
        <v>3</v>
      </c>
      <c r="D23" s="149" t="n">
        <v>43672</v>
      </c>
      <c r="E23" s="155" t="s">
        <v>365</v>
      </c>
    </row>
    <row r="24" customFormat="false" ht="15.6" hidden="false" customHeight="false" outlineLevel="0" collapsed="false">
      <c r="A24" s="155" t="s">
        <v>342</v>
      </c>
      <c r="B24" s="152" t="s">
        <v>363</v>
      </c>
      <c r="C24" s="151" t="s">
        <v>3</v>
      </c>
      <c r="D24" s="149" t="n">
        <v>43674</v>
      </c>
      <c r="E24" s="155" t="s">
        <v>366</v>
      </c>
    </row>
    <row r="25" customFormat="false" ht="37.8" hidden="false" customHeight="false" outlineLevel="0" collapsed="false">
      <c r="A25" s="155" t="s">
        <v>342</v>
      </c>
      <c r="B25" s="152" t="s">
        <v>367</v>
      </c>
      <c r="C25" s="151" t="s">
        <v>3</v>
      </c>
      <c r="D25" s="149" t="n">
        <v>43685</v>
      </c>
      <c r="E25" s="155" t="s">
        <v>368</v>
      </c>
    </row>
    <row r="26" customFormat="false" ht="37.3" hidden="false" customHeight="false" outlineLevel="0" collapsed="false">
      <c r="A26" s="155" t="s">
        <v>369</v>
      </c>
      <c r="B26" s="152" t="s">
        <v>367</v>
      </c>
      <c r="C26" s="151" t="s">
        <v>3</v>
      </c>
      <c r="D26" s="149" t="n">
        <v>43719</v>
      </c>
      <c r="E26" s="155"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96</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2020-04-27T13:17:20Z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